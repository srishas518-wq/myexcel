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5A140962-2A4E-4EDE-A989-43DBCFEE6FD0}" xr6:coauthVersionLast="41" xr6:coauthVersionMax="41" xr10:uidLastSave="{00000000-0000-0000-0000-000000000000}"/>
  <bookViews>
    <workbookView xWindow="-110" yWindow="-110" windowWidth="19420" windowHeight="10300" activeTab="4" xr2:uid="{6ADE43CD-60D9-4697-A5E5-4EA99FA9C2BB}"/>
  </bookViews>
  <sheets>
    <sheet name="studetails" sheetId="1" r:id="rId1"/>
    <sheet name="juice" sheetId="4" r:id="rId2"/>
    <sheet name="coursefees" sheetId="2" r:id="rId3"/>
    <sheet name="bill" sheetId="3" r:id="rId4"/>
    <sheet name="task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5" l="1"/>
  <c r="L5" i="5"/>
  <c r="K5" i="5"/>
  <c r="I5" i="5"/>
  <c r="F5" i="5"/>
  <c r="E5" i="5"/>
  <c r="E4" i="5"/>
  <c r="D5" i="5"/>
  <c r="M3" i="5" l="1"/>
  <c r="M4" i="5"/>
  <c r="M2" i="5"/>
  <c r="L3" i="5"/>
  <c r="L4" i="5"/>
  <c r="L2" i="5"/>
  <c r="K3" i="5"/>
  <c r="K4" i="5"/>
  <c r="K2" i="5"/>
  <c r="I3" i="5"/>
  <c r="I4" i="5"/>
  <c r="I2" i="5"/>
  <c r="F3" i="5"/>
  <c r="F4" i="5"/>
  <c r="F2" i="5"/>
  <c r="E3" i="5"/>
  <c r="E2" i="5"/>
  <c r="D3" i="5"/>
  <c r="D4" i="5"/>
  <c r="D2" i="5"/>
  <c r="B11" i="4" l="1"/>
  <c r="B10" i="4"/>
  <c r="F14" i="1" l="1"/>
  <c r="E15" i="3"/>
  <c r="D15" i="3"/>
  <c r="F3" i="1"/>
  <c r="F4" i="1"/>
  <c r="F5" i="1"/>
  <c r="F6" i="1"/>
  <c r="F7" i="1"/>
  <c r="F8" i="1"/>
  <c r="F9" i="1"/>
  <c r="F10" i="1"/>
  <c r="F11" i="1"/>
  <c r="F12" i="1"/>
  <c r="F13" i="1"/>
  <c r="F2" i="1"/>
  <c r="E14" i="3"/>
  <c r="D14" i="3"/>
  <c r="E13" i="3"/>
  <c r="D13" i="3"/>
  <c r="E12" i="3"/>
  <c r="E11" i="3"/>
  <c r="D12" i="3"/>
  <c r="D11" i="3"/>
  <c r="E10" i="3"/>
  <c r="D10" i="3"/>
  <c r="E9" i="3"/>
  <c r="D9" i="3"/>
  <c r="E7" i="3"/>
  <c r="E8" i="3"/>
  <c r="D8" i="3"/>
  <c r="D7" i="3"/>
  <c r="E6" i="3"/>
  <c r="D6" i="3"/>
  <c r="E5" i="3"/>
  <c r="D5" i="3"/>
  <c r="E3" i="3"/>
  <c r="E4" i="3"/>
  <c r="D3" i="3"/>
  <c r="D4" i="3"/>
  <c r="D2" i="3"/>
  <c r="E2" i="3"/>
  <c r="D3" i="1"/>
  <c r="D4" i="1"/>
  <c r="E4" i="1" s="1"/>
  <c r="D5" i="1"/>
  <c r="E5" i="1" s="1"/>
  <c r="D6" i="1"/>
  <c r="D7" i="1"/>
  <c r="E7" i="1" s="1"/>
  <c r="D8" i="1"/>
  <c r="D9" i="1"/>
  <c r="D10" i="1"/>
  <c r="E10" i="1" s="1"/>
  <c r="D11" i="1"/>
  <c r="E11" i="1" s="1"/>
  <c r="D12" i="1"/>
  <c r="E12" i="1" s="1"/>
  <c r="D13" i="1"/>
  <c r="E13" i="1" s="1"/>
  <c r="D14" i="1"/>
  <c r="D2" i="1"/>
  <c r="E2" i="1" s="1"/>
  <c r="E14" i="1"/>
  <c r="E3" i="1"/>
  <c r="E6" i="1"/>
  <c r="E8" i="1"/>
  <c r="E9" i="1"/>
</calcChain>
</file>

<file path=xl/sharedStrings.xml><?xml version="1.0" encoding="utf-8"?>
<sst xmlns="http://schemas.openxmlformats.org/spreadsheetml/2006/main" count="107" uniqueCount="89">
  <si>
    <t>Roll NO</t>
  </si>
  <si>
    <t>Sname</t>
  </si>
  <si>
    <t>course</t>
  </si>
  <si>
    <t>total</t>
  </si>
  <si>
    <t>Course</t>
  </si>
  <si>
    <t>Fees</t>
  </si>
  <si>
    <t>c++</t>
  </si>
  <si>
    <t>java</t>
  </si>
  <si>
    <t>python</t>
  </si>
  <si>
    <t>php</t>
  </si>
  <si>
    <t>full stack</t>
  </si>
  <si>
    <t>data analyst</t>
  </si>
  <si>
    <t>desiger</t>
  </si>
  <si>
    <t>mysql</t>
  </si>
  <si>
    <t>oracal</t>
  </si>
  <si>
    <t>.net</t>
  </si>
  <si>
    <t>data science</t>
  </si>
  <si>
    <t>total fees</t>
  </si>
  <si>
    <t>sreesha</t>
  </si>
  <si>
    <t>c</t>
  </si>
  <si>
    <t>dhanu</t>
  </si>
  <si>
    <t>mern</t>
  </si>
  <si>
    <t>sangee</t>
  </si>
  <si>
    <t>Error</t>
  </si>
  <si>
    <t>sruthi</t>
  </si>
  <si>
    <t>sathu</t>
  </si>
  <si>
    <t>rakshu</t>
  </si>
  <si>
    <t>jannu</t>
  </si>
  <si>
    <t>priytha</t>
  </si>
  <si>
    <t>lakshu</t>
  </si>
  <si>
    <t>js</t>
  </si>
  <si>
    <t>abi</t>
  </si>
  <si>
    <t>tharani</t>
  </si>
  <si>
    <t>sujba</t>
  </si>
  <si>
    <t>mariya</t>
  </si>
  <si>
    <t>paid fees</t>
  </si>
  <si>
    <t>bill no</t>
  </si>
  <si>
    <t>bill date</t>
  </si>
  <si>
    <t>roll no</t>
  </si>
  <si>
    <t>sname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</si>
  <si>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</si>
  <si>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</si>
  <si>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</si>
  <si>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</si>
  <si>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</si>
  <si>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</si>
  <si>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</si>
  <si>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</si>
  <si>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</si>
  <si>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</si>
  <si>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</si>
  <si>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</si>
  <si>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</si>
  <si>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</si>
  <si>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</si>
  <si>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 xml:space="preserve"> 5/12/2025</t>
  </si>
  <si>
    <t>juice name</t>
  </si>
  <si>
    <t>apple</t>
  </si>
  <si>
    <t>pomegrant</t>
  </si>
  <si>
    <t>lemon</t>
  </si>
  <si>
    <t>sugar cane</t>
  </si>
  <si>
    <t>grapes</t>
  </si>
  <si>
    <t>jack fruit</t>
  </si>
  <si>
    <t>price</t>
  </si>
  <si>
    <t>Enter juice name</t>
  </si>
  <si>
    <t>benefit</t>
  </si>
  <si>
    <t>no doctor</t>
  </si>
  <si>
    <t>hp level increase</t>
  </si>
  <si>
    <t>heat reduce</t>
  </si>
  <si>
    <t>colling body</t>
  </si>
  <si>
    <t>more energy</t>
  </si>
  <si>
    <t>blood increase</t>
  </si>
  <si>
    <t>eno</t>
  </si>
  <si>
    <t>ename</t>
  </si>
  <si>
    <t>basis sal</t>
  </si>
  <si>
    <t>ma 5%</t>
  </si>
  <si>
    <t>ta 6%</t>
  </si>
  <si>
    <t>hra 10%</t>
  </si>
  <si>
    <t>lop</t>
  </si>
  <si>
    <t>ot</t>
  </si>
  <si>
    <t>pf 12%</t>
  </si>
  <si>
    <t>loan</t>
  </si>
  <si>
    <t>esi  1%</t>
  </si>
  <si>
    <t>gross</t>
  </si>
  <si>
    <t>net sal</t>
  </si>
  <si>
    <t>murugan</t>
  </si>
  <si>
    <t>sakthi</t>
  </si>
  <si>
    <t>gross salary</t>
  </si>
  <si>
    <t>bs+ma+ta+hra+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</si>
</sst>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DE75-E7B4-48FA-9A79-563D19956184}">
  <sheetPr codeName="Sheet1"/>
  <dimension ref="A1:F14"/>
  <sheetViews>
    <sheetView zoomScale="101" workbookViewId="0">
      <selection activeCell="D2" sqref="D2"/>
    </sheetView>
  </sheetViews>
  <sheetFormatPr defaultRowHeight="14.5" x14ac:dyDescent="0.35"/>
  <cols>
    <col min="3" max="3" width="11.08984375" customWidth="1"/>
    <col min="5" max="5" width="0" hidden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17</v>
      </c>
      <c r="E1" t="s">
        <v>23</v>
      </c>
      <c r="F1" t="s">
        <v>35</v>
      </c>
    </row>
    <row r="2" spans="1:6" x14ac:dyDescent="0.35">
      <c r="A2">
        <v>1001</v>
      </c>
      <c r="B2" t="s">
        <v>18</v>
      </c>
      <c r="C2" t="s">
        <v>7</v>
      </c>
      <c r="D2">
        <f>IFERROR(VLOOKUP(C2,coursefees!A:B,2,FALSE),"not found")</f>
        <v>7000</v>
      </c>
      <c r="E2">
        <f>IFERROR(D2,"not found")</f>
        <v>7000</v>
      </c>
      <c r="F2">
        <f>SUMIF(bill!C:C,A2,bill!F:F)</f>
        <v>1300</v>
      </c>
    </row>
    <row r="3" spans="1:6" x14ac:dyDescent="0.35">
      <c r="A3">
        <v>1002</v>
      </c>
      <c r="B3" t="s">
        <v>20</v>
      </c>
      <c r="C3" t="s">
        <v>19</v>
      </c>
      <c r="D3">
        <f>IFERROR(VLOOKUP(C3,coursefees!A:B,2,FALSE),"not found")</f>
        <v>5000</v>
      </c>
      <c r="E3">
        <f t="shared" ref="E3:E14" si="0">IFERROR(D3,"not found")</f>
        <v>5000</v>
      </c>
      <c r="F3">
        <f>SUMIF(bill!C:C,A3,bill!F:F)</f>
        <v>200</v>
      </c>
    </row>
    <row r="4" spans="1:6" x14ac:dyDescent="0.35">
      <c r="A4">
        <v>1003</v>
      </c>
      <c r="B4" t="s">
        <v>22</v>
      </c>
      <c r="C4" t="s">
        <v>21</v>
      </c>
      <c r="D4" t="str">
        <f>IFERROR(VLOOKUP(C4,coursefees!A:B,2,FALSE),"not found")</f>
        <v>not found</v>
      </c>
      <c r="E4" t="str">
        <f t="shared" si="0"/>
        <v>not found</v>
      </c>
      <c r="F4">
        <f>SUMIF(bill!C:C,A4,bill!F:F)</f>
        <v>700</v>
      </c>
    </row>
    <row r="5" spans="1:6" x14ac:dyDescent="0.35">
      <c r="A5">
        <v>1004</v>
      </c>
      <c r="B5" t="s">
        <v>24</v>
      </c>
      <c r="C5" t="s">
        <v>6</v>
      </c>
      <c r="D5">
        <f>IFERROR(VLOOKUP(C5,coursefees!A:B,2,FALSE),"not found")</f>
        <v>6000</v>
      </c>
      <c r="E5">
        <f t="shared" si="0"/>
        <v>6000</v>
      </c>
      <c r="F5">
        <f>SUMIF(bill!C:C,A5,bill!F:F)</f>
        <v>200</v>
      </c>
    </row>
    <row r="6" spans="1:6" x14ac:dyDescent="0.35">
      <c r="A6">
        <v>1005</v>
      </c>
      <c r="B6" t="s">
        <v>25</v>
      </c>
      <c r="C6" t="s">
        <v>8</v>
      </c>
      <c r="D6">
        <f>IFERROR(VLOOKUP(C6,coursefees!A:B,2,FALSE),"not found")</f>
        <v>8000</v>
      </c>
      <c r="E6">
        <f t="shared" si="0"/>
        <v>8000</v>
      </c>
      <c r="F6">
        <f>SUMIF(bill!C:C,A6,bill!F:F)</f>
        <v>700</v>
      </c>
    </row>
    <row r="7" spans="1:6" x14ac:dyDescent="0.35">
      <c r="A7">
        <v>1006</v>
      </c>
      <c r="B7" t="s">
        <v>26</v>
      </c>
      <c r="C7" t="s">
        <v>13</v>
      </c>
      <c r="D7">
        <f>IFERROR(VLOOKUP(C7,coursefees!A:B,2,FALSE),"not found")</f>
        <v>13000</v>
      </c>
      <c r="E7">
        <f t="shared" si="0"/>
        <v>13000</v>
      </c>
      <c r="F7">
        <f>SUMIF(bill!C:C,A7,bill!F:F)</f>
        <v>400</v>
      </c>
    </row>
    <row r="8" spans="1:6" x14ac:dyDescent="0.35">
      <c r="A8">
        <v>1007</v>
      </c>
      <c r="B8" t="s">
        <v>27</v>
      </c>
      <c r="C8" t="s">
        <v>11</v>
      </c>
      <c r="D8">
        <f>IFERROR(VLOOKUP(C8,coursefees!A:B,2,FALSE),"not found")</f>
        <v>11000</v>
      </c>
      <c r="E8">
        <f t="shared" si="0"/>
        <v>11000</v>
      </c>
      <c r="F8">
        <f>SUMIF(bill!C:C,A8,bill!F:F)</f>
        <v>1300</v>
      </c>
    </row>
    <row r="9" spans="1:6" x14ac:dyDescent="0.35">
      <c r="A9">
        <v>1008</v>
      </c>
      <c r="B9" t="s">
        <v>28</v>
      </c>
      <c r="C9" t="s">
        <v>15</v>
      </c>
      <c r="D9">
        <f>IFERROR(VLOOKUP(C9,coursefees!A:B,2,FALSE),"not found")</f>
        <v>16000</v>
      </c>
      <c r="E9">
        <f t="shared" si="0"/>
        <v>16000</v>
      </c>
      <c r="F9">
        <f>SUMIF(bill!C:C,A9,bill!F:F)</f>
        <v>1000</v>
      </c>
    </row>
    <row r="10" spans="1:6" x14ac:dyDescent="0.35">
      <c r="A10">
        <v>1009</v>
      </c>
      <c r="B10" t="s">
        <v>29</v>
      </c>
      <c r="C10" t="s">
        <v>30</v>
      </c>
      <c r="D10" t="str">
        <f>IFERROR(VLOOKUP(C10,coursefees!A:B,2,FALSE),"not found")</f>
        <v>not found</v>
      </c>
      <c r="E10" t="str">
        <f t="shared" si="0"/>
        <v>not found</v>
      </c>
      <c r="F10">
        <f>SUMIF(bill!C:C,A10,bill!F:F)</f>
        <v>500</v>
      </c>
    </row>
    <row r="11" spans="1:6" x14ac:dyDescent="0.35">
      <c r="A11">
        <v>1010</v>
      </c>
      <c r="B11" t="s">
        <v>31</v>
      </c>
      <c r="C11" t="s">
        <v>14</v>
      </c>
      <c r="D11">
        <f>IFERROR(VLOOKUP(C11,coursefees!A:B,2,FALSE),"not found")</f>
        <v>15000</v>
      </c>
      <c r="E11">
        <f t="shared" si="0"/>
        <v>15000</v>
      </c>
      <c r="F11">
        <f>SUMIF(bill!C:C,A11,bill!F:F)</f>
        <v>3000</v>
      </c>
    </row>
    <row r="12" spans="1:6" x14ac:dyDescent="0.35">
      <c r="A12">
        <v>1011</v>
      </c>
      <c r="B12" t="s">
        <v>32</v>
      </c>
      <c r="C12" t="s">
        <v>16</v>
      </c>
      <c r="D12">
        <f>IFERROR(VLOOKUP(C12,coursefees!A:B,2,FALSE),"not found")</f>
        <v>17000</v>
      </c>
      <c r="E12">
        <f t="shared" si="0"/>
        <v>17000</v>
      </c>
      <c r="F12">
        <f>SUMIF(bill!C:C,A12,bill!F:F)</f>
        <v>2000</v>
      </c>
    </row>
    <row r="13" spans="1:6" x14ac:dyDescent="0.35">
      <c r="A13">
        <v>1012</v>
      </c>
      <c r="B13" t="s">
        <v>33</v>
      </c>
      <c r="C13" t="s">
        <v>9</v>
      </c>
      <c r="D13">
        <f>IFERROR(VLOOKUP(C13,coursefees!A:B,2,FALSE),"not found")</f>
        <v>9000</v>
      </c>
      <c r="E13">
        <f t="shared" si="0"/>
        <v>9000</v>
      </c>
      <c r="F13">
        <f>SUMIF(bill!C:C,A13,bill!F:F)</f>
        <v>0</v>
      </c>
    </row>
    <row r="14" spans="1:6" x14ac:dyDescent="0.35">
      <c r="A14">
        <v>1013</v>
      </c>
      <c r="B14" t="s">
        <v>34</v>
      </c>
      <c r="C14" t="s">
        <v>10</v>
      </c>
      <c r="D14">
        <f>IFERROR(VLOOKUP(C14,coursefees!A:B,2,FALSE),"not found")</f>
        <v>10000</v>
      </c>
      <c r="E14">
        <f t="shared" si="0"/>
        <v>10000</v>
      </c>
      <c r="F14">
        <f>SUMIF(bill!C:C,A14,bill!F:F)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A556-3A4F-4E85-A1C2-D93AF02D0F32}">
  <dimension ref="A3:L11"/>
  <sheetViews>
    <sheetView workbookViewId="0">
      <selection activeCell="B8" sqref="B8"/>
    </sheetView>
  </sheetViews>
  <sheetFormatPr defaultRowHeight="14.5" x14ac:dyDescent="0.35"/>
  <cols>
    <col min="1" max="1" width="20.6328125" customWidth="1"/>
    <col min="2" max="2" width="15.453125" customWidth="1"/>
    <col min="6" max="6" width="11.6328125" customWidth="1"/>
    <col min="8" max="8" width="17.81640625" customWidth="1"/>
    <col min="9" max="9" width="10.90625" customWidth="1"/>
    <col min="10" max="10" width="11.90625" customWidth="1"/>
    <col min="11" max="11" width="12" customWidth="1"/>
    <col min="12" max="12" width="13.36328125" customWidth="1"/>
  </cols>
  <sheetData>
    <row r="3" spans="1:12" x14ac:dyDescent="0.35"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</row>
    <row r="4" spans="1:12" x14ac:dyDescent="0.35">
      <c r="F4" t="s">
        <v>63</v>
      </c>
      <c r="G4">
        <v>75</v>
      </c>
      <c r="H4">
        <v>60</v>
      </c>
      <c r="I4">
        <v>10</v>
      </c>
      <c r="J4">
        <v>20</v>
      </c>
      <c r="K4">
        <v>80</v>
      </c>
      <c r="L4">
        <v>100</v>
      </c>
    </row>
    <row r="5" spans="1:12" x14ac:dyDescent="0.35"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</row>
    <row r="8" spans="1:12" x14ac:dyDescent="0.35">
      <c r="A8" t="s">
        <v>64</v>
      </c>
      <c r="B8" t="s">
        <v>61</v>
      </c>
    </row>
    <row r="10" spans="1:12" x14ac:dyDescent="0.35">
      <c r="A10" t="s">
        <v>63</v>
      </c>
      <c r="B10" s="2">
        <f>HLOOKUP(B8,F3:L4,2,FALSE)</f>
        <v>80</v>
      </c>
    </row>
    <row r="11" spans="1:12" x14ac:dyDescent="0.35">
      <c r="A11" t="s">
        <v>65</v>
      </c>
      <c r="B11" t="str">
        <f>HLOOKUP(B8,F3:L5,3,FALSE)</f>
        <v>more energy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FB91-3467-498B-9696-64E3F423B0B9}">
  <sheetPr codeName="Sheet2"/>
  <dimension ref="A1:B13"/>
  <sheetViews>
    <sheetView workbookViewId="0">
      <selection activeCell="A14" sqref="A14"/>
    </sheetView>
  </sheetViews>
  <sheetFormatPr defaultRowHeight="14.5" x14ac:dyDescent="0.35"/>
  <cols>
    <col min="1" max="1" width="11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19</v>
      </c>
      <c r="B2">
        <v>5000</v>
      </c>
    </row>
    <row r="3" spans="1:2" x14ac:dyDescent="0.35">
      <c r="A3" t="s">
        <v>6</v>
      </c>
      <c r="B3">
        <v>6000</v>
      </c>
    </row>
    <row r="4" spans="1:2" x14ac:dyDescent="0.35">
      <c r="A4" t="s">
        <v>7</v>
      </c>
      <c r="B4">
        <v>7000</v>
      </c>
    </row>
    <row r="5" spans="1:2" x14ac:dyDescent="0.35">
      <c r="A5" t="s">
        <v>8</v>
      </c>
      <c r="B5">
        <v>8000</v>
      </c>
    </row>
    <row r="6" spans="1:2" x14ac:dyDescent="0.35">
      <c r="A6" t="s">
        <v>9</v>
      </c>
      <c r="B6">
        <v>9000</v>
      </c>
    </row>
    <row r="7" spans="1:2" x14ac:dyDescent="0.35">
      <c r="A7" t="s">
        <v>10</v>
      </c>
      <c r="B7">
        <v>10000</v>
      </c>
    </row>
    <row r="8" spans="1:2" x14ac:dyDescent="0.35">
      <c r="A8" t="s">
        <v>11</v>
      </c>
      <c r="B8">
        <v>11000</v>
      </c>
    </row>
    <row r="9" spans="1:2" x14ac:dyDescent="0.35">
      <c r="A9" t="s">
        <v>12</v>
      </c>
      <c r="B9">
        <v>12200</v>
      </c>
    </row>
    <row r="10" spans="1:2" x14ac:dyDescent="0.35">
      <c r="A10" t="s">
        <v>13</v>
      </c>
      <c r="B10">
        <v>13000</v>
      </c>
    </row>
    <row r="11" spans="1:2" x14ac:dyDescent="0.35">
      <c r="A11" t="s">
        <v>14</v>
      </c>
      <c r="B11">
        <v>15000</v>
      </c>
    </row>
    <row r="12" spans="1:2" x14ac:dyDescent="0.35">
      <c r="A12" t="s">
        <v>15</v>
      </c>
      <c r="B12">
        <v>16000</v>
      </c>
    </row>
    <row r="13" spans="1:2" x14ac:dyDescent="0.35">
      <c r="A13" t="s">
        <v>16</v>
      </c>
      <c r="B13">
        <v>17000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9770-B7E4-474B-B8BD-791738E61D32}">
  <sheetPr codeName="Sheet3"/>
  <dimension ref="A1:G16"/>
  <sheetViews>
    <sheetView workbookViewId="0">
      <selection activeCell="D15" sqref="D15"/>
    </sheetView>
  </sheetViews>
  <sheetFormatPr defaultRowHeight="14.5" x14ac:dyDescent="0.35"/>
  <cols>
    <col min="2" max="2" width="13.1796875" customWidth="1"/>
    <col min="5" max="5" width="18.1796875" customWidth="1"/>
  </cols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2</v>
      </c>
      <c r="F1" t="s">
        <v>3</v>
      </c>
      <c r="G1" t="s">
        <v>35</v>
      </c>
    </row>
    <row r="2" spans="1:7" x14ac:dyDescent="0.35">
      <c r="A2" t="s">
        <v>40</v>
      </c>
      <c r="B2" s="1">
        <v>45992</v>
      </c>
      <c r="C2">
        <v>1001</v>
      </c>
      <c r="D2" t="str">
        <f>VLOOKUP(C2,studetails!A:B,2,FALSE)</f>
        <v>sreesha</v>
      </c>
      <c r="E2" t="str">
        <f>VLOOKUP(C2,studetails!A:C,3,FALSE)</f>
        <v>java</v>
      </c>
      <c r="F2">
        <v>500</v>
      </c>
    </row>
    <row r="3" spans="1:7" x14ac:dyDescent="0.35">
      <c r="A3" t="s">
        <v>41</v>
      </c>
      <c r="B3" s="1">
        <v>45993</v>
      </c>
      <c r="C3">
        <v>1002</v>
      </c>
      <c r="D3" t="str">
        <f>VLOOKUP(C3,studetails!A:B,2,FALSE)</f>
        <v>dhanu</v>
      </c>
      <c r="E3" t="str">
        <f>VLOOKUP(C3,studetails!A:C,3,FALSE)</f>
        <v>c</v>
      </c>
      <c r="F3">
        <v>200</v>
      </c>
    </row>
    <row r="4" spans="1:7" x14ac:dyDescent="0.35">
      <c r="A4" t="s">
        <v>42</v>
      </c>
      <c r="B4" s="1">
        <v>45993</v>
      </c>
      <c r="C4">
        <v>1001</v>
      </c>
      <c r="D4" t="str">
        <f>VLOOKUP(C4,studetails!A:B,2,FALSE)</f>
        <v>sreesha</v>
      </c>
      <c r="E4" t="str">
        <f>VLOOKUP(C4,studetails!A:C,3,FALSE)</f>
        <v>java</v>
      </c>
      <c r="F4">
        <v>800</v>
      </c>
    </row>
    <row r="5" spans="1:7" x14ac:dyDescent="0.35">
      <c r="A5" t="s">
        <v>43</v>
      </c>
      <c r="B5" s="1">
        <v>45994</v>
      </c>
      <c r="C5">
        <v>1003</v>
      </c>
      <c r="D5" t="str">
        <f>VLOOKUP(C5,studetails!A:B,2,FALSE)</f>
        <v>sangee</v>
      </c>
      <c r="E5" t="str">
        <f>VLOOKUP(C5,studetails!A:C,3,FALSE)</f>
        <v>mern</v>
      </c>
      <c r="F5">
        <v>700</v>
      </c>
    </row>
    <row r="6" spans="1:7" x14ac:dyDescent="0.35">
      <c r="A6" t="s">
        <v>44</v>
      </c>
      <c r="B6" s="1">
        <v>45995</v>
      </c>
      <c r="C6">
        <v>1004</v>
      </c>
      <c r="D6" t="str">
        <f>VLOOKUP(C6,studetails!A:B,2,FALSE)</f>
        <v>sruthi</v>
      </c>
      <c r="E6" t="str">
        <f>VLOOKUP(C6,studetails!A:C,3,FALSE)</f>
        <v>c++</v>
      </c>
      <c r="F6">
        <v>200</v>
      </c>
    </row>
    <row r="7" spans="1:7" x14ac:dyDescent="0.35">
      <c r="A7" t="s">
        <v>45</v>
      </c>
      <c r="B7" s="1">
        <v>45995</v>
      </c>
      <c r="C7">
        <v>1005</v>
      </c>
      <c r="D7" t="str">
        <f>VLOOKUP(C7,studetails!A:B,2,FALSE)</f>
        <v>sathu</v>
      </c>
      <c r="E7" t="str">
        <f>VLOOKUP(C7,studetails!A:C,3,FALSE)</f>
        <v>python</v>
      </c>
      <c r="F7">
        <v>700</v>
      </c>
    </row>
    <row r="8" spans="1:7" x14ac:dyDescent="0.35">
      <c r="A8" t="s">
        <v>46</v>
      </c>
      <c r="B8" t="s">
        <v>55</v>
      </c>
      <c r="C8">
        <v>1006</v>
      </c>
      <c r="D8" t="str">
        <f>VLOOKUP(C8,studetails!A:B,2,FALSE)</f>
        <v>rakshu</v>
      </c>
      <c r="E8" t="str">
        <f>VLOOKUP(C8,studetails!A:C,3,FALSE)</f>
        <v>mysql</v>
      </c>
      <c r="F8">
        <v>400</v>
      </c>
    </row>
    <row r="9" spans="1:7" x14ac:dyDescent="0.35">
      <c r="A9" t="s">
        <v>47</v>
      </c>
      <c r="B9" s="1">
        <v>45997</v>
      </c>
      <c r="C9">
        <v>1007</v>
      </c>
      <c r="D9" t="str">
        <f>VLOOKUP(C9,studetails!A:B,2,FALSE)</f>
        <v>jannu</v>
      </c>
      <c r="E9" t="str">
        <f>VLOOKUP(C9,studetails!A:C,3,FALSE)</f>
        <v>data analyst</v>
      </c>
      <c r="F9">
        <v>300</v>
      </c>
    </row>
    <row r="10" spans="1:7" x14ac:dyDescent="0.35">
      <c r="A10" t="s">
        <v>48</v>
      </c>
      <c r="B10" s="1">
        <v>45997</v>
      </c>
      <c r="C10">
        <v>1008</v>
      </c>
      <c r="D10" t="str">
        <f>VLOOKUP(C10,studetails!A:B,2,FALSE)</f>
        <v>priytha</v>
      </c>
      <c r="E10" t="str">
        <f>VLOOKUP(C10,studetails!A:C,3,FALSE)</f>
        <v>.net</v>
      </c>
      <c r="F10">
        <v>1000</v>
      </c>
    </row>
    <row r="11" spans="1:7" x14ac:dyDescent="0.35">
      <c r="A11" t="s">
        <v>49</v>
      </c>
      <c r="B11" s="1">
        <v>45997</v>
      </c>
      <c r="C11">
        <v>1007</v>
      </c>
      <c r="D11" t="str">
        <f>VLOOKUP(C11,studetails!A:B,2,FALSE)</f>
        <v>jannu</v>
      </c>
      <c r="E11" t="str">
        <f>VLOOKUP(C11,studetails!A:C,3,FALSE)</f>
        <v>data analyst</v>
      </c>
      <c r="F11">
        <v>1000</v>
      </c>
    </row>
    <row r="12" spans="1:7" x14ac:dyDescent="0.35">
      <c r="A12" t="s">
        <v>50</v>
      </c>
      <c r="B12" s="1">
        <v>45998</v>
      </c>
      <c r="C12">
        <v>1009</v>
      </c>
      <c r="D12" t="str">
        <f>VLOOKUP(C12,studetails!A:B,2,FALSE)</f>
        <v>lakshu</v>
      </c>
      <c r="E12" t="str">
        <f>VLOOKUP(C12,studetails!A:C,3,FALSE)</f>
        <v>js</v>
      </c>
      <c r="F12">
        <v>500</v>
      </c>
    </row>
    <row r="13" spans="1:7" x14ac:dyDescent="0.35">
      <c r="A13" t="s">
        <v>51</v>
      </c>
      <c r="B13" s="1">
        <v>38694</v>
      </c>
      <c r="C13">
        <v>1010</v>
      </c>
      <c r="D13" t="str">
        <f>VLOOKUP(C13,studetails!A:B,2,FALSE)</f>
        <v>abi</v>
      </c>
      <c r="E13" t="str">
        <f>VLOOKUP(C13,studetails!A:C,3,FALSE)</f>
        <v>oracal</v>
      </c>
      <c r="F13">
        <v>3000</v>
      </c>
    </row>
    <row r="14" spans="1:7" x14ac:dyDescent="0.35">
      <c r="A14" t="s">
        <v>52</v>
      </c>
      <c r="B14" s="1">
        <v>46000</v>
      </c>
      <c r="C14">
        <v>1011</v>
      </c>
      <c r="D14" t="str">
        <f>VLOOKUP(C14,studetails!A:B,2,FALSE)</f>
        <v>tharani</v>
      </c>
      <c r="E14" t="str">
        <f>VLOOKUP(C14,studetails!A:C,3,FALSE)</f>
        <v>data science</v>
      </c>
      <c r="F14">
        <v>2000</v>
      </c>
    </row>
    <row r="15" spans="1:7" x14ac:dyDescent="0.35">
      <c r="A15" t="s">
        <v>53</v>
      </c>
      <c r="B15" s="1">
        <v>46000</v>
      </c>
      <c r="C15">
        <v>1013</v>
      </c>
      <c r="D15" t="str">
        <f>VLOOKUP(C15,studetails!A:B,2,FALSE)</f>
        <v>mariya</v>
      </c>
      <c r="E15" t="str">
        <f>VLOOKUP(C15,studetails!A:C,3,FALSE)</f>
        <v>full stack</v>
      </c>
      <c r="F15">
        <v>100</v>
      </c>
    </row>
    <row r="16" spans="1:7" x14ac:dyDescent="0.35">
      <c r="A1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802E-F3D0-414B-A134-AF92064CBC45}">
  <dimension ref="A1:M11"/>
  <sheetViews>
    <sheetView tabSelected="1" workbookViewId="0">
      <selection activeCell="I32" sqref="I32"/>
    </sheetView>
  </sheetViews>
  <sheetFormatPr defaultRowHeight="14.5" x14ac:dyDescent="0.35"/>
  <cols>
    <col min="2" max="2" width="15.08984375" customWidth="1"/>
    <col min="3" max="3" width="14.36328125" customWidth="1"/>
    <col min="4" max="4" width="11.6328125" customWidth="1"/>
    <col min="5" max="5" width="12.90625" customWidth="1"/>
    <col min="6" max="6" width="9.7265625" customWidth="1"/>
  </cols>
  <sheetData>
    <row r="1" spans="1:13" x14ac:dyDescent="0.3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1:13" x14ac:dyDescent="0.35">
      <c r="A2">
        <v>101</v>
      </c>
      <c r="B2" t="s">
        <v>85</v>
      </c>
      <c r="C2">
        <v>30000</v>
      </c>
      <c r="D2">
        <f>C2*5/100</f>
        <v>1500</v>
      </c>
      <c r="E2">
        <f>C2*6/100</f>
        <v>1800</v>
      </c>
      <c r="F2">
        <f>C2*10/100</f>
        <v>3000</v>
      </c>
      <c r="G2">
        <v>1000</v>
      </c>
      <c r="H2">
        <v>1500</v>
      </c>
      <c r="I2">
        <f>C2*12/100</f>
        <v>3600</v>
      </c>
      <c r="J2">
        <v>2500</v>
      </c>
      <c r="K2">
        <f>C2*1/100</f>
        <v>300</v>
      </c>
      <c r="L2">
        <f>C2+D2+E2+F2+H2-G2-J2-K2</f>
        <v>34000</v>
      </c>
      <c r="M2">
        <f>L2-I2</f>
        <v>30400</v>
      </c>
    </row>
    <row r="3" spans="1:13" x14ac:dyDescent="0.35">
      <c r="A3">
        <v>102</v>
      </c>
      <c r="B3" t="s">
        <v>86</v>
      </c>
      <c r="C3">
        <v>25000</v>
      </c>
      <c r="D3">
        <f t="shared" ref="D3:D5" si="0">C3*5/100</f>
        <v>1250</v>
      </c>
      <c r="E3">
        <f t="shared" ref="E3:E4" si="1">C3*6/100</f>
        <v>1500</v>
      </c>
      <c r="F3">
        <f t="shared" ref="F3:F5" si="2">C3*10/100</f>
        <v>2500</v>
      </c>
      <c r="G3">
        <v>3000</v>
      </c>
      <c r="H3">
        <v>1500</v>
      </c>
      <c r="I3">
        <f t="shared" ref="I3:I5" si="3">C3*12/100</f>
        <v>3000</v>
      </c>
      <c r="J3">
        <v>2500</v>
      </c>
      <c r="K3">
        <f t="shared" ref="K3:K5" si="4">C3*1/100</f>
        <v>250</v>
      </c>
      <c r="L3">
        <f t="shared" ref="L3:L5" si="5">C3+D3+E3+F3+H3-G3-J3-K3</f>
        <v>26000</v>
      </c>
      <c r="M3">
        <f t="shared" ref="M3:M5" si="6">L3-I3</f>
        <v>23000</v>
      </c>
    </row>
    <row r="4" spans="1:13" x14ac:dyDescent="0.35">
      <c r="A4">
        <v>103</v>
      </c>
      <c r="B4" t="s">
        <v>18</v>
      </c>
      <c r="C4">
        <v>45000</v>
      </c>
      <c r="D4">
        <f t="shared" si="0"/>
        <v>2250</v>
      </c>
      <c r="E4">
        <f>C4*6/100</f>
        <v>2700</v>
      </c>
      <c r="F4">
        <f t="shared" si="2"/>
        <v>4500</v>
      </c>
      <c r="G4">
        <v>5000</v>
      </c>
      <c r="H4">
        <v>1500</v>
      </c>
      <c r="I4">
        <f t="shared" si="3"/>
        <v>5400</v>
      </c>
      <c r="J4">
        <v>2500</v>
      </c>
      <c r="K4">
        <f t="shared" si="4"/>
        <v>450</v>
      </c>
      <c r="L4">
        <f t="shared" si="5"/>
        <v>48000</v>
      </c>
      <c r="M4">
        <f t="shared" si="6"/>
        <v>42600</v>
      </c>
    </row>
    <row r="5" spans="1:13" x14ac:dyDescent="0.35">
      <c r="A5">
        <v>104</v>
      </c>
      <c r="B5" t="s">
        <v>20</v>
      </c>
      <c r="C5">
        <v>30000</v>
      </c>
      <c r="D5">
        <f t="shared" si="0"/>
        <v>1500</v>
      </c>
      <c r="E5">
        <f>C5*6/100</f>
        <v>1800</v>
      </c>
      <c r="F5">
        <f t="shared" si="2"/>
        <v>3000</v>
      </c>
      <c r="G5">
        <v>30000</v>
      </c>
      <c r="H5">
        <v>2000</v>
      </c>
      <c r="I5">
        <f t="shared" si="3"/>
        <v>3600</v>
      </c>
      <c r="J5">
        <v>2000</v>
      </c>
      <c r="K5">
        <f t="shared" si="4"/>
        <v>300</v>
      </c>
      <c r="L5">
        <f t="shared" si="5"/>
        <v>6000</v>
      </c>
      <c r="M5">
        <f>L5-I5</f>
        <v>2400</v>
      </c>
    </row>
    <row r="10" spans="1:13" x14ac:dyDescent="0.35">
      <c r="I10" t="s">
        <v>87</v>
      </c>
    </row>
    <row r="11" spans="1:13" x14ac:dyDescent="0.35">
      <c r="I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studetails</vt:lpstr>
      <vt:lpstr>juice</vt:lpstr>
      <vt:lpstr>coursefees</vt:lpstr>
      <vt:lpstr>bill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2025-12-04T09:32:37Z</dcterms:created>
  <dcterms:modified xsi:type="dcterms:W3CDTF">2025-12-08T09:46:52Z</dcterms:modified>
</cp:coreProperties>
</file>