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7F92E636-43D7-4D06-88DF-1665974CAB5A}" xr6:coauthVersionLast="41" xr6:coauthVersionMax="41" xr10:uidLastSave="{00000000-0000-0000-0000-000000000000}"/>
  <bookViews>
    <workbookView xWindow="-110" yWindow="-110" windowWidth="19420" windowHeight="10300" activeTab="1" xr2:uid="{B593C40F-F6CB-4F64-844D-4F037D826983}"/>
  </bookViews>
  <sheets>
    <sheet name="Sheet1" sheetId="1" r:id="rId1"/>
    <sheet name="Sheet5" sheetId="5" r:id="rId2"/>
    <sheet name="Sheet4" sheetId="4" r:id="rId3"/>
    <sheet name="Sheet2" sheetId="2" r:id="rId4"/>
    <sheet name="Sheet3" sheetId="3" r:id="rId5"/>
  </sheets>
  <definedNames>
    <definedName name="_xlnm._FilterDatabase" localSheetId="2" hidden="1">Sheet4!$A$1:$I$15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I4" i="5"/>
  <c r="I5" i="5"/>
  <c r="I6" i="5"/>
  <c r="I7" i="5"/>
  <c r="I8" i="5"/>
  <c r="I9" i="5"/>
  <c r="I10" i="5"/>
  <c r="I11" i="5"/>
  <c r="I12" i="5"/>
  <c r="I13" i="5"/>
  <c r="I14" i="5"/>
  <c r="I15" i="5"/>
  <c r="I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2" i="5"/>
  <c r="F4" i="5"/>
  <c r="F5" i="5"/>
  <c r="F6" i="5"/>
  <c r="F7" i="5"/>
  <c r="F8" i="5"/>
  <c r="F9" i="5"/>
  <c r="F10" i="5"/>
  <c r="F11" i="5"/>
  <c r="F12" i="5"/>
  <c r="F13" i="5"/>
  <c r="F14" i="5"/>
  <c r="F1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2" i="5"/>
  <c r="H9" i="5" l="1"/>
  <c r="H13" i="5"/>
  <c r="H12" i="5"/>
  <c r="H4" i="5"/>
  <c r="H7" i="5"/>
  <c r="H5" i="5"/>
  <c r="H3" i="5"/>
  <c r="I3" i="5" s="1"/>
  <c r="H14" i="5"/>
  <c r="H10" i="5"/>
  <c r="H8" i="5"/>
  <c r="H15" i="5"/>
  <c r="H11" i="5"/>
  <c r="H6" i="5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2" i="4"/>
  <c r="F12" i="1"/>
  <c r="D3" i="2" l="1"/>
  <c r="D4" i="2"/>
  <c r="D5" i="2"/>
  <c r="D2" i="2"/>
  <c r="F15" i="1" l="1"/>
  <c r="G15" i="1" s="1"/>
  <c r="E2" i="1"/>
  <c r="F2" i="1" s="1"/>
  <c r="G2" i="1" s="1"/>
  <c r="D15" i="1"/>
  <c r="E15" i="1" s="1"/>
  <c r="E4" i="1"/>
  <c r="F4" i="1" s="1"/>
  <c r="G4" i="1" s="1"/>
  <c r="E6" i="1"/>
  <c r="F6" i="1" s="1"/>
  <c r="G6" i="1" s="1"/>
  <c r="E7" i="1"/>
  <c r="F7" i="1" s="1"/>
  <c r="G7" i="1" s="1"/>
  <c r="E9" i="1"/>
  <c r="F9" i="1" s="1"/>
  <c r="G9" i="1" s="1"/>
  <c r="E12" i="1"/>
  <c r="G12" i="1" s="1"/>
  <c r="E14" i="1"/>
  <c r="F14" i="1" s="1"/>
  <c r="G14" i="1" s="1"/>
  <c r="D3" i="1"/>
  <c r="E3" i="1" s="1"/>
  <c r="F3" i="1" s="1"/>
  <c r="G3" i="1" s="1"/>
  <c r="D4" i="1"/>
  <c r="D5" i="1"/>
  <c r="E5" i="1" s="1"/>
  <c r="F5" i="1" s="1"/>
  <c r="G5" i="1" s="1"/>
  <c r="D6" i="1"/>
  <c r="D7" i="1"/>
  <c r="D8" i="1"/>
  <c r="E8" i="1" s="1"/>
  <c r="F8" i="1" s="1"/>
  <c r="G8" i="1" s="1"/>
  <c r="D9" i="1"/>
  <c r="D10" i="1"/>
  <c r="E10" i="1" s="1"/>
  <c r="F10" i="1" s="1"/>
  <c r="G10" i="1" s="1"/>
  <c r="D11" i="1"/>
  <c r="E11" i="1" s="1"/>
  <c r="F11" i="1" s="1"/>
  <c r="G11" i="1" s="1"/>
  <c r="D12" i="1"/>
  <c r="D13" i="1"/>
  <c r="E13" i="1" s="1"/>
  <c r="F13" i="1" s="1"/>
  <c r="G13" i="1" s="1"/>
  <c r="D1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<sst xmlns="http://schemas.openxmlformats.org/spreadsheetml/2006/main" count="133" uniqueCount="89">
  <si>
    <t>sname</t>
  </si>
  <si>
    <t>eno</t>
  </si>
  <si>
    <t>e1002</t>
  </si>
  <si>
    <t>e1001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</si>
  <si>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</si>
  <si>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</si>
  <si>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</si>
  <si>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</si>
  <si>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</si>
  <si>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</si>
  <si>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</si>
  <si>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</si>
  <si>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</si>
  <si>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</si>
  <si>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</si>
  <si>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s sreesha</t>
  </si>
  <si>
    <t>k dhanu</t>
  </si>
  <si>
    <t>s sangee</t>
  </si>
  <si>
    <t>s sruthi</t>
  </si>
  <si>
    <t>s sathu</t>
  </si>
  <si>
    <t>s rakshu</t>
  </si>
  <si>
    <t>a jannu</t>
  </si>
  <si>
    <t>p priytha</t>
  </si>
  <si>
    <t>a lakshu</t>
  </si>
  <si>
    <t>r abi</t>
  </si>
  <si>
    <t>t tharani</t>
  </si>
  <si>
    <t>t sujba</t>
  </si>
  <si>
    <t>t mariya</t>
  </si>
  <si>
    <t>initial only</t>
  </si>
  <si>
    <t>length</t>
  </si>
  <si>
    <t>name without initial</t>
  </si>
  <si>
    <t>e1014</t>
  </si>
  <si>
    <t>name with initial at end</t>
  </si>
  <si>
    <t>full caps</t>
  </si>
  <si>
    <t>year</t>
  </si>
  <si>
    <t>total credit of tamil nadu</t>
  </si>
  <si>
    <t>population</t>
  </si>
  <si>
    <t>individual credit</t>
  </si>
  <si>
    <t>sno</t>
  </si>
  <si>
    <t>doj</t>
  </si>
  <si>
    <t>total fees</t>
  </si>
  <si>
    <t>paid fees</t>
  </si>
  <si>
    <t>balance fees</t>
  </si>
  <si>
    <t>city</t>
  </si>
  <si>
    <t>age</t>
  </si>
  <si>
    <t>karur</t>
  </si>
  <si>
    <t>madurai</t>
  </si>
  <si>
    <t>vizhupuram</t>
  </si>
  <si>
    <t>trichy</t>
  </si>
  <si>
    <t>selam</t>
  </si>
  <si>
    <t>chennai</t>
  </si>
  <si>
    <t>coimbatore</t>
  </si>
  <si>
    <t>tripur</t>
  </si>
  <si>
    <t>namakkal</t>
  </si>
  <si>
    <t>velur</t>
  </si>
  <si>
    <t>course</t>
  </si>
  <si>
    <t>c</t>
  </si>
  <si>
    <t>java</t>
  </si>
  <si>
    <t>python</t>
  </si>
  <si>
    <t>vb</t>
  </si>
  <si>
    <t>tally</t>
  </si>
  <si>
    <t>c++</t>
  </si>
  <si>
    <t>php</t>
  </si>
  <si>
    <t>.net</t>
  </si>
  <si>
    <t>jannu</t>
  </si>
  <si>
    <t>lakshu</t>
  </si>
  <si>
    <t>dhanu</t>
  </si>
  <si>
    <t>priytha</t>
  </si>
  <si>
    <t>abi</t>
  </si>
  <si>
    <t>rakshu</t>
  </si>
  <si>
    <t>sangee</t>
  </si>
  <si>
    <t>sathu</t>
  </si>
  <si>
    <t>sreesha</t>
  </si>
  <si>
    <t>sruthi</t>
  </si>
  <si>
    <t>mariya</t>
  </si>
  <si>
    <t>sujba</t>
  </si>
  <si>
    <t>tharani</t>
  </si>
  <si>
    <t>total joined nov</t>
  </si>
  <si>
    <t>total joined dec</t>
  </si>
  <si>
    <t>total joined oct</t>
  </si>
  <si>
    <t>overall joined</t>
  </si>
  <si>
    <t>Ename</t>
  </si>
  <si>
    <t>intial end</t>
  </si>
  <si>
    <t>trim</t>
  </si>
  <si>
    <t xml:space="preserve">   s.s.sreesha </t>
  </si>
  <si>
    <t xml:space="preserve">   s.m.sathu</t>
  </si>
  <si>
    <t xml:space="preserve">  r.r.abi</t>
  </si>
  <si>
    <t>s   .r.sangee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</si>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</sst>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9]\ #,##0"/>
    <numFmt numFmtId="165" formatCode="0."/>
    <numFmt numFmtId="166" formatCode="0\)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64" fontId="0" fillId="0" borderId="1" xfId="0" applyNumberFormat="1" applyBorder="1"/>
    <xf numFmtId="14" fontId="0" fillId="0" borderId="1" xfId="0" applyNumberFormat="1" applyBorder="1"/>
    <xf numFmtId="0" fontId="1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1E89-788F-4CE2-A89D-B21BE22A4826}">
  <dimension ref="A1:G17"/>
  <sheetViews>
    <sheetView workbookViewId="0">
      <selection activeCell="B17" sqref="B17"/>
    </sheetView>
  </sheetViews>
  <sheetFormatPr defaultRowHeight="14.5" x14ac:dyDescent="0.35"/>
  <cols>
    <col min="2" max="2" width="16.453125" customWidth="1"/>
    <col min="3" max="3" width="11.7265625" customWidth="1"/>
    <col min="5" max="5" width="19" customWidth="1"/>
    <col min="6" max="6" width="22.08984375" customWidth="1"/>
    <col min="7" max="7" width="13.7265625" customWidth="1"/>
  </cols>
  <sheetData>
    <row r="1" spans="1:7" x14ac:dyDescent="0.35">
      <c r="A1" t="s">
        <v>1</v>
      </c>
      <c r="B1" t="s">
        <v>0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</row>
    <row r="2" spans="1:7" x14ac:dyDescent="0.35">
      <c r="A2" t="s">
        <v>3</v>
      </c>
      <c r="B2" t="s">
        <v>15</v>
      </c>
      <c r="C2" t="str">
        <f>LEFT(B2,1)</f>
        <v>s</v>
      </c>
      <c r="D2">
        <f>LEN(B2)</f>
        <v>9</v>
      </c>
      <c r="E2" t="str">
        <f>RIGHT(B2,D2-2)</f>
        <v>sreesha</v>
      </c>
      <c r="F2" t="str">
        <f>CONCATENATE(E2,".",C2)</f>
        <v>sreesha.s</v>
      </c>
      <c r="G2" t="str">
        <f>UPPER(F2)</f>
        <v>SREESHA.S</v>
      </c>
    </row>
    <row r="3" spans="1:7" x14ac:dyDescent="0.35">
      <c r="A3" t="s">
        <v>2</v>
      </c>
      <c r="B3" t="s">
        <v>16</v>
      </c>
      <c r="C3" t="str">
        <f t="shared" ref="C3:C17" si="0">LEFT(B3,1)</f>
        <v>k</v>
      </c>
      <c r="D3">
        <f t="shared" ref="D3:D15" si="1">LEN(B3)</f>
        <v>7</v>
      </c>
      <c r="E3" t="str">
        <f t="shared" ref="E3:E15" si="2">RIGHT(B3,D3-2)</f>
        <v>dhanu</v>
      </c>
      <c r="F3" t="str">
        <f t="shared" ref="F3:F15" si="3">CONCATENATE(E3,".",C3)</f>
        <v>dhanu.k</v>
      </c>
      <c r="G3" t="str">
        <f t="shared" ref="G3:G15" si="4">UPPER(F3)</f>
        <v>DHANU.K</v>
      </c>
    </row>
    <row r="4" spans="1:7" x14ac:dyDescent="0.35">
      <c r="A4" t="s">
        <v>4</v>
      </c>
      <c r="B4" t="s">
        <v>17</v>
      </c>
      <c r="C4" t="str">
        <f t="shared" si="0"/>
        <v>s</v>
      </c>
      <c r="D4">
        <f t="shared" si="1"/>
        <v>8</v>
      </c>
      <c r="E4" t="str">
        <f t="shared" si="2"/>
        <v>sangee</v>
      </c>
      <c r="F4" t="str">
        <f t="shared" si="3"/>
        <v>sangee.s</v>
      </c>
      <c r="G4" t="str">
        <f t="shared" si="4"/>
        <v>SANGEE.S</v>
      </c>
    </row>
    <row r="5" spans="1:7" x14ac:dyDescent="0.35">
      <c r="A5" t="s">
        <v>5</v>
      </c>
      <c r="B5" t="s">
        <v>18</v>
      </c>
      <c r="C5" t="str">
        <f t="shared" si="0"/>
        <v>s</v>
      </c>
      <c r="D5">
        <f t="shared" si="1"/>
        <v>8</v>
      </c>
      <c r="E5" t="str">
        <f t="shared" si="2"/>
        <v>sruthi</v>
      </c>
      <c r="F5" t="str">
        <f t="shared" si="3"/>
        <v>sruthi.s</v>
      </c>
      <c r="G5" t="str">
        <f t="shared" si="4"/>
        <v>SRUTHI.S</v>
      </c>
    </row>
    <row r="6" spans="1:7" x14ac:dyDescent="0.35">
      <c r="A6" t="s">
        <v>6</v>
      </c>
      <c r="B6" t="s">
        <v>19</v>
      </c>
      <c r="C6" t="str">
        <f t="shared" si="0"/>
        <v>s</v>
      </c>
      <c r="D6">
        <f t="shared" si="1"/>
        <v>7</v>
      </c>
      <c r="E6" t="str">
        <f t="shared" si="2"/>
        <v>sathu</v>
      </c>
      <c r="F6" t="str">
        <f t="shared" si="3"/>
        <v>sathu.s</v>
      </c>
      <c r="G6" t="str">
        <f t="shared" si="4"/>
        <v>SATHU.S</v>
      </c>
    </row>
    <row r="7" spans="1:7" x14ac:dyDescent="0.35">
      <c r="A7" t="s">
        <v>7</v>
      </c>
      <c r="B7" t="s">
        <v>20</v>
      </c>
      <c r="C7" t="str">
        <f t="shared" si="0"/>
        <v>s</v>
      </c>
      <c r="D7">
        <f t="shared" si="1"/>
        <v>8</v>
      </c>
      <c r="E7" t="str">
        <f t="shared" si="2"/>
        <v>rakshu</v>
      </c>
      <c r="F7" t="str">
        <f t="shared" si="3"/>
        <v>rakshu.s</v>
      </c>
      <c r="G7" t="str">
        <f t="shared" si="4"/>
        <v>RAKSHU.S</v>
      </c>
    </row>
    <row r="8" spans="1:7" x14ac:dyDescent="0.35">
      <c r="A8" t="s">
        <v>8</v>
      </c>
      <c r="B8" t="s">
        <v>21</v>
      </c>
      <c r="C8" t="str">
        <f t="shared" si="0"/>
        <v>a</v>
      </c>
      <c r="D8">
        <f t="shared" si="1"/>
        <v>7</v>
      </c>
      <c r="E8" t="str">
        <f t="shared" si="2"/>
        <v>jannu</v>
      </c>
      <c r="F8" t="str">
        <f t="shared" si="3"/>
        <v>jannu.a</v>
      </c>
      <c r="G8" t="str">
        <f t="shared" si="4"/>
        <v>JANNU.A</v>
      </c>
    </row>
    <row r="9" spans="1:7" x14ac:dyDescent="0.35">
      <c r="A9" t="s">
        <v>9</v>
      </c>
      <c r="B9" t="s">
        <v>22</v>
      </c>
      <c r="C9" t="str">
        <f t="shared" si="0"/>
        <v>p</v>
      </c>
      <c r="D9">
        <f t="shared" si="1"/>
        <v>9</v>
      </c>
      <c r="E9" t="str">
        <f t="shared" si="2"/>
        <v>priytha</v>
      </c>
      <c r="F9" t="str">
        <f t="shared" si="3"/>
        <v>priytha.p</v>
      </c>
      <c r="G9" t="str">
        <f t="shared" si="4"/>
        <v>PRIYTHA.P</v>
      </c>
    </row>
    <row r="10" spans="1:7" x14ac:dyDescent="0.35">
      <c r="A10" t="s">
        <v>10</v>
      </c>
      <c r="B10" t="s">
        <v>23</v>
      </c>
      <c r="C10" t="str">
        <f t="shared" si="0"/>
        <v>a</v>
      </c>
      <c r="D10">
        <f t="shared" si="1"/>
        <v>8</v>
      </c>
      <c r="E10" t="str">
        <f t="shared" si="2"/>
        <v>lakshu</v>
      </c>
      <c r="F10" t="str">
        <f t="shared" si="3"/>
        <v>lakshu.a</v>
      </c>
      <c r="G10" t="str">
        <f t="shared" si="4"/>
        <v>LAKSHU.A</v>
      </c>
    </row>
    <row r="11" spans="1:7" x14ac:dyDescent="0.35">
      <c r="A11" t="s">
        <v>11</v>
      </c>
      <c r="B11" t="s">
        <v>24</v>
      </c>
      <c r="C11" t="str">
        <f t="shared" si="0"/>
        <v>r</v>
      </c>
      <c r="D11">
        <f t="shared" si="1"/>
        <v>5</v>
      </c>
      <c r="E11" t="str">
        <f t="shared" si="2"/>
        <v>abi</v>
      </c>
      <c r="F11" t="str">
        <f t="shared" si="3"/>
        <v>abi.r</v>
      </c>
      <c r="G11" t="str">
        <f t="shared" si="4"/>
        <v>ABI.R</v>
      </c>
    </row>
    <row r="12" spans="1:7" x14ac:dyDescent="0.35">
      <c r="A12" t="s">
        <v>12</v>
      </c>
      <c r="B12" t="s">
        <v>25</v>
      </c>
      <c r="C12" t="str">
        <f t="shared" si="0"/>
        <v>t</v>
      </c>
      <c r="D12">
        <f t="shared" si="1"/>
        <v>9</v>
      </c>
      <c r="E12" t="str">
        <f t="shared" si="2"/>
        <v>tharani</v>
      </c>
      <c r="F12" t="str">
        <f>CONCATENATE(E12,".",C12)</f>
        <v>tharani.t</v>
      </c>
      <c r="G12" t="str">
        <f t="shared" si="4"/>
        <v>THARANI.T</v>
      </c>
    </row>
    <row r="13" spans="1:7" x14ac:dyDescent="0.35">
      <c r="A13" t="s">
        <v>13</v>
      </c>
      <c r="B13" t="s">
        <v>26</v>
      </c>
      <c r="C13" t="str">
        <f t="shared" si="0"/>
        <v>t</v>
      </c>
      <c r="D13">
        <f t="shared" si="1"/>
        <v>7</v>
      </c>
      <c r="E13" t="str">
        <f t="shared" si="2"/>
        <v>sujba</v>
      </c>
      <c r="F13" t="str">
        <f t="shared" si="3"/>
        <v>sujba.t</v>
      </c>
      <c r="G13" t="str">
        <f t="shared" si="4"/>
        <v>SUJBA.T</v>
      </c>
    </row>
    <row r="14" spans="1:7" x14ac:dyDescent="0.35">
      <c r="A14" t="s">
        <v>14</v>
      </c>
      <c r="B14" t="s">
        <v>27</v>
      </c>
      <c r="C14" t="str">
        <f t="shared" si="0"/>
        <v>t</v>
      </c>
      <c r="D14">
        <f t="shared" si="1"/>
        <v>8</v>
      </c>
      <c r="E14" t="str">
        <f t="shared" si="2"/>
        <v>mariya</v>
      </c>
      <c r="F14" t="str">
        <f t="shared" si="3"/>
        <v>mariya.t</v>
      </c>
      <c r="G14" t="str">
        <f t="shared" si="4"/>
        <v>MARIYA.T</v>
      </c>
    </row>
    <row r="15" spans="1:7" x14ac:dyDescent="0.35">
      <c r="A15" t="s">
        <v>31</v>
      </c>
      <c r="B15" t="s">
        <v>17</v>
      </c>
      <c r="C15" t="str">
        <f t="shared" si="0"/>
        <v>s</v>
      </c>
      <c r="D15">
        <f t="shared" si="1"/>
        <v>8</v>
      </c>
      <c r="E15" t="str">
        <f t="shared" si="2"/>
        <v>sangee</v>
      </c>
      <c r="F15" t="str">
        <f t="shared" si="3"/>
        <v>sangee.s</v>
      </c>
      <c r="G15" t="str">
        <f t="shared" si="4"/>
        <v>SANGEE.S</v>
      </c>
    </row>
    <row r="16" spans="1:7" x14ac:dyDescent="0.35">
      <c r="C16" t="str">
        <f t="shared" si="0"/>
        <v/>
      </c>
    </row>
    <row r="17" spans="3:3" x14ac:dyDescent="0.35">
      <c r="C17" t="str">
        <f t="shared" si="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576B-CFD1-4751-9E95-C0B3352C06E4}">
  <dimension ref="A1:I15"/>
  <sheetViews>
    <sheetView tabSelected="1" workbookViewId="0">
      <selection activeCell="K15" sqref="K15"/>
    </sheetView>
  </sheetViews>
  <sheetFormatPr defaultRowHeight="14.5" x14ac:dyDescent="0.35"/>
  <cols>
    <col min="2" max="3" width="12" customWidth="1"/>
    <col min="4" max="4" width="8.54296875" customWidth="1"/>
    <col min="5" max="5" width="18.36328125" customWidth="1"/>
    <col min="6" max="6" width="11.453125" customWidth="1"/>
    <col min="7" max="7" width="17.6328125" customWidth="1"/>
    <col min="8" max="8" width="13.54296875" customWidth="1"/>
    <col min="9" max="9" width="12.6328125" customWidth="1"/>
  </cols>
  <sheetData>
    <row r="1" spans="1:9" x14ac:dyDescent="0.35">
      <c r="A1" s="6" t="s">
        <v>1</v>
      </c>
      <c r="B1" s="6" t="s">
        <v>81</v>
      </c>
      <c r="C1" s="6" t="s">
        <v>83</v>
      </c>
      <c r="D1" s="6" t="s">
        <v>29</v>
      </c>
      <c r="E1" s="6" t="s">
        <v>30</v>
      </c>
      <c r="F1" s="6" t="s">
        <v>28</v>
      </c>
      <c r="G1" s="6" t="s">
        <v>30</v>
      </c>
      <c r="H1" s="6" t="s">
        <v>82</v>
      </c>
      <c r="I1" s="6" t="s">
        <v>88</v>
      </c>
    </row>
    <row r="2" spans="1:9" x14ac:dyDescent="0.35">
      <c r="A2" s="7" t="s">
        <v>3</v>
      </c>
      <c r="B2" s="7" t="s">
        <v>84</v>
      </c>
      <c r="C2" s="7" t="str">
        <f>TRIM(B2)</f>
        <v>s.s.sreesha</v>
      </c>
      <c r="D2" s="7">
        <f>LEN(C2)</f>
        <v>11</v>
      </c>
      <c r="E2" s="7">
        <f>IFERROR(SEARCH(".",C2,4),2)</f>
        <v>4</v>
      </c>
      <c r="F2" s="7" t="str">
        <f>LEFT(C2,E2-1)</f>
        <v>s.s</v>
      </c>
      <c r="G2" s="7" t="str">
        <f>RIGHT(C2,LEN(C2)-E2)</f>
        <v>sreesha</v>
      </c>
      <c r="H2" s="7" t="str">
        <f>CONCATENATE(G2,".",F2)</f>
        <v>sreesha.s.s</v>
      </c>
      <c r="I2" s="7" t="str">
        <f>PROPER(H2)</f>
        <v>Sreesha.S.S</v>
      </c>
    </row>
    <row r="3" spans="1:9" x14ac:dyDescent="0.35">
      <c r="A3" s="7" t="s">
        <v>2</v>
      </c>
      <c r="B3" s="7" t="s">
        <v>16</v>
      </c>
      <c r="C3" s="7" t="str">
        <f t="shared" ref="C3:C15" si="0">TRIM(B3)</f>
        <v>k dhanu</v>
      </c>
      <c r="D3" s="7">
        <f t="shared" ref="D3:D15" si="1">LEN(C3)</f>
        <v>7</v>
      </c>
      <c r="E3" s="7">
        <f t="shared" ref="E3:E15" si="2">IFERROR(SEARCH(".",C3,4),2)</f>
        <v>2</v>
      </c>
      <c r="F3" s="7" t="str">
        <f>LEFT(C3,E3-1)</f>
        <v>k</v>
      </c>
      <c r="G3" s="7" t="str">
        <f t="shared" ref="G3:G15" si="3">RIGHT(C3,LEN(C3)-E3)</f>
        <v>dhanu</v>
      </c>
      <c r="H3" s="7" t="str">
        <f t="shared" ref="H3:H15" si="4">CONCATENATE(G3,".",F3)</f>
        <v>dhanu.k</v>
      </c>
      <c r="I3" s="7" t="str">
        <f t="shared" ref="I3:I15" si="5">PROPER(H3)</f>
        <v>Dhanu.K</v>
      </c>
    </row>
    <row r="4" spans="1:9" x14ac:dyDescent="0.35">
      <c r="A4" s="7" t="s">
        <v>4</v>
      </c>
      <c r="B4" s="7" t="s">
        <v>17</v>
      </c>
      <c r="C4" s="7" t="str">
        <f t="shared" si="0"/>
        <v>s sangee</v>
      </c>
      <c r="D4" s="7">
        <f t="shared" si="1"/>
        <v>8</v>
      </c>
      <c r="E4" s="7">
        <f t="shared" si="2"/>
        <v>2</v>
      </c>
      <c r="F4" s="7" t="str">
        <f t="shared" ref="F3:F15" si="6">LEFT(C4,E4-1)</f>
        <v>s</v>
      </c>
      <c r="G4" s="7" t="str">
        <f t="shared" si="3"/>
        <v>sangee</v>
      </c>
      <c r="H4" s="7" t="str">
        <f t="shared" si="4"/>
        <v>sangee.s</v>
      </c>
      <c r="I4" s="7" t="str">
        <f t="shared" si="5"/>
        <v>Sangee.S</v>
      </c>
    </row>
    <row r="5" spans="1:9" x14ac:dyDescent="0.35">
      <c r="A5" s="7" t="s">
        <v>5</v>
      </c>
      <c r="B5" s="7" t="s">
        <v>18</v>
      </c>
      <c r="C5" s="7" t="str">
        <f t="shared" si="0"/>
        <v>s sruthi</v>
      </c>
      <c r="D5" s="7">
        <f t="shared" si="1"/>
        <v>8</v>
      </c>
      <c r="E5" s="7">
        <f t="shared" si="2"/>
        <v>2</v>
      </c>
      <c r="F5" s="7" t="str">
        <f t="shared" si="6"/>
        <v>s</v>
      </c>
      <c r="G5" s="7" t="str">
        <f t="shared" si="3"/>
        <v>sruthi</v>
      </c>
      <c r="H5" s="7" t="str">
        <f t="shared" si="4"/>
        <v>sruthi.s</v>
      </c>
      <c r="I5" s="7" t="str">
        <f t="shared" si="5"/>
        <v>Sruthi.S</v>
      </c>
    </row>
    <row r="6" spans="1:9" x14ac:dyDescent="0.35">
      <c r="A6" s="7" t="s">
        <v>6</v>
      </c>
      <c r="B6" s="7" t="s">
        <v>85</v>
      </c>
      <c r="C6" s="7" t="str">
        <f t="shared" si="0"/>
        <v>s.m.sathu</v>
      </c>
      <c r="D6" s="7">
        <f t="shared" si="1"/>
        <v>9</v>
      </c>
      <c r="E6" s="7">
        <f t="shared" si="2"/>
        <v>4</v>
      </c>
      <c r="F6" s="7" t="str">
        <f t="shared" si="6"/>
        <v>s.m</v>
      </c>
      <c r="G6" s="7" t="str">
        <f t="shared" si="3"/>
        <v>sathu</v>
      </c>
      <c r="H6" s="7" t="str">
        <f t="shared" si="4"/>
        <v>sathu.s.m</v>
      </c>
      <c r="I6" s="7" t="str">
        <f t="shared" si="5"/>
        <v>Sathu.S.M</v>
      </c>
    </row>
    <row r="7" spans="1:9" x14ac:dyDescent="0.35">
      <c r="A7" s="7" t="s">
        <v>7</v>
      </c>
      <c r="B7" s="7" t="s">
        <v>20</v>
      </c>
      <c r="C7" s="7" t="str">
        <f t="shared" si="0"/>
        <v>s rakshu</v>
      </c>
      <c r="D7" s="7">
        <f t="shared" si="1"/>
        <v>8</v>
      </c>
      <c r="E7" s="7">
        <f t="shared" si="2"/>
        <v>2</v>
      </c>
      <c r="F7" s="7" t="str">
        <f t="shared" si="6"/>
        <v>s</v>
      </c>
      <c r="G7" s="7" t="str">
        <f t="shared" si="3"/>
        <v>rakshu</v>
      </c>
      <c r="H7" s="7" t="str">
        <f t="shared" si="4"/>
        <v>rakshu.s</v>
      </c>
      <c r="I7" s="7" t="str">
        <f t="shared" si="5"/>
        <v>Rakshu.S</v>
      </c>
    </row>
    <row r="8" spans="1:9" x14ac:dyDescent="0.35">
      <c r="A8" s="7" t="s">
        <v>8</v>
      </c>
      <c r="B8" s="7" t="s">
        <v>21</v>
      </c>
      <c r="C8" s="7" t="str">
        <f t="shared" si="0"/>
        <v>a jannu</v>
      </c>
      <c r="D8" s="7">
        <f t="shared" si="1"/>
        <v>7</v>
      </c>
      <c r="E8" s="7">
        <f t="shared" si="2"/>
        <v>2</v>
      </c>
      <c r="F8" s="7" t="str">
        <f t="shared" si="6"/>
        <v>a</v>
      </c>
      <c r="G8" s="7" t="str">
        <f t="shared" si="3"/>
        <v>jannu</v>
      </c>
      <c r="H8" s="7" t="str">
        <f t="shared" si="4"/>
        <v>jannu.a</v>
      </c>
      <c r="I8" s="7" t="str">
        <f t="shared" si="5"/>
        <v>Jannu.A</v>
      </c>
    </row>
    <row r="9" spans="1:9" x14ac:dyDescent="0.35">
      <c r="A9" s="7" t="s">
        <v>9</v>
      </c>
      <c r="B9" s="7" t="s">
        <v>22</v>
      </c>
      <c r="C9" s="7" t="str">
        <f t="shared" si="0"/>
        <v>p priytha</v>
      </c>
      <c r="D9" s="7">
        <f t="shared" si="1"/>
        <v>9</v>
      </c>
      <c r="E9" s="7">
        <f t="shared" si="2"/>
        <v>2</v>
      </c>
      <c r="F9" s="7" t="str">
        <f t="shared" si="6"/>
        <v>p</v>
      </c>
      <c r="G9" s="7" t="str">
        <f t="shared" si="3"/>
        <v>priytha</v>
      </c>
      <c r="H9" s="7" t="str">
        <f t="shared" si="4"/>
        <v>priytha.p</v>
      </c>
      <c r="I9" s="7" t="str">
        <f t="shared" si="5"/>
        <v>Priytha.P</v>
      </c>
    </row>
    <row r="10" spans="1:9" x14ac:dyDescent="0.35">
      <c r="A10" s="7" t="s">
        <v>10</v>
      </c>
      <c r="B10" s="7" t="s">
        <v>23</v>
      </c>
      <c r="C10" s="7" t="str">
        <f t="shared" si="0"/>
        <v>a lakshu</v>
      </c>
      <c r="D10" s="7">
        <f t="shared" si="1"/>
        <v>8</v>
      </c>
      <c r="E10" s="7">
        <f t="shared" si="2"/>
        <v>2</v>
      </c>
      <c r="F10" s="7" t="str">
        <f t="shared" si="6"/>
        <v>a</v>
      </c>
      <c r="G10" s="7" t="str">
        <f t="shared" si="3"/>
        <v>lakshu</v>
      </c>
      <c r="H10" s="7" t="str">
        <f t="shared" si="4"/>
        <v>lakshu.a</v>
      </c>
      <c r="I10" s="7" t="str">
        <f t="shared" si="5"/>
        <v>Lakshu.A</v>
      </c>
    </row>
    <row r="11" spans="1:9" x14ac:dyDescent="0.35">
      <c r="A11" s="7" t="s">
        <v>11</v>
      </c>
      <c r="B11" s="7" t="s">
        <v>86</v>
      </c>
      <c r="C11" s="7" t="str">
        <f t="shared" si="0"/>
        <v>r.r.abi</v>
      </c>
      <c r="D11" s="7">
        <f t="shared" si="1"/>
        <v>7</v>
      </c>
      <c r="E11" s="7">
        <f t="shared" si="2"/>
        <v>4</v>
      </c>
      <c r="F11" s="7" t="str">
        <f t="shared" si="6"/>
        <v>r.r</v>
      </c>
      <c r="G11" s="7" t="str">
        <f t="shared" si="3"/>
        <v>abi</v>
      </c>
      <c r="H11" s="7" t="str">
        <f t="shared" si="4"/>
        <v>abi.r.r</v>
      </c>
      <c r="I11" s="7" t="str">
        <f t="shared" si="5"/>
        <v>Abi.R.R</v>
      </c>
    </row>
    <row r="12" spans="1:9" x14ac:dyDescent="0.35">
      <c r="A12" s="7" t="s">
        <v>12</v>
      </c>
      <c r="B12" s="7" t="s">
        <v>25</v>
      </c>
      <c r="C12" s="7" t="str">
        <f t="shared" si="0"/>
        <v>t tharani</v>
      </c>
      <c r="D12" s="7">
        <f t="shared" si="1"/>
        <v>9</v>
      </c>
      <c r="E12" s="7">
        <f t="shared" si="2"/>
        <v>2</v>
      </c>
      <c r="F12" s="7" t="str">
        <f t="shared" si="6"/>
        <v>t</v>
      </c>
      <c r="G12" s="7" t="str">
        <f t="shared" si="3"/>
        <v>tharani</v>
      </c>
      <c r="H12" s="7" t="str">
        <f t="shared" si="4"/>
        <v>tharani.t</v>
      </c>
      <c r="I12" s="7" t="str">
        <f t="shared" si="5"/>
        <v>Tharani.T</v>
      </c>
    </row>
    <row r="13" spans="1:9" x14ac:dyDescent="0.35">
      <c r="A13" s="7" t="s">
        <v>13</v>
      </c>
      <c r="B13" s="7" t="s">
        <v>26</v>
      </c>
      <c r="C13" s="7" t="str">
        <f t="shared" si="0"/>
        <v>t sujba</v>
      </c>
      <c r="D13" s="7">
        <f t="shared" si="1"/>
        <v>7</v>
      </c>
      <c r="E13" s="7">
        <f t="shared" si="2"/>
        <v>2</v>
      </c>
      <c r="F13" s="7" t="str">
        <f t="shared" si="6"/>
        <v>t</v>
      </c>
      <c r="G13" s="7" t="str">
        <f t="shared" si="3"/>
        <v>sujba</v>
      </c>
      <c r="H13" s="7" t="str">
        <f t="shared" si="4"/>
        <v>sujba.t</v>
      </c>
      <c r="I13" s="7" t="str">
        <f t="shared" si="5"/>
        <v>Sujba.T</v>
      </c>
    </row>
    <row r="14" spans="1:9" x14ac:dyDescent="0.35">
      <c r="A14" s="7" t="s">
        <v>14</v>
      </c>
      <c r="B14" s="7" t="s">
        <v>27</v>
      </c>
      <c r="C14" s="7" t="str">
        <f t="shared" si="0"/>
        <v>t mariya</v>
      </c>
      <c r="D14" s="7">
        <f t="shared" si="1"/>
        <v>8</v>
      </c>
      <c r="E14" s="7">
        <f t="shared" si="2"/>
        <v>2</v>
      </c>
      <c r="F14" s="7" t="str">
        <f t="shared" si="6"/>
        <v>t</v>
      </c>
      <c r="G14" s="7" t="str">
        <f t="shared" si="3"/>
        <v>mariya</v>
      </c>
      <c r="H14" s="7" t="str">
        <f t="shared" si="4"/>
        <v>mariya.t</v>
      </c>
      <c r="I14" s="7" t="str">
        <f t="shared" si="5"/>
        <v>Mariya.T</v>
      </c>
    </row>
    <row r="15" spans="1:9" x14ac:dyDescent="0.35">
      <c r="A15" s="7" t="s">
        <v>31</v>
      </c>
      <c r="B15" s="7" t="s">
        <v>87</v>
      </c>
      <c r="C15" s="7" t="str">
        <f t="shared" si="0"/>
        <v>s .r.sangee</v>
      </c>
      <c r="D15" s="7">
        <f t="shared" si="1"/>
        <v>11</v>
      </c>
      <c r="E15" s="7">
        <f t="shared" si="2"/>
        <v>5</v>
      </c>
      <c r="F15" s="7" t="str">
        <f t="shared" si="6"/>
        <v>s .r</v>
      </c>
      <c r="G15" s="7" t="str">
        <f t="shared" si="3"/>
        <v>sangee</v>
      </c>
      <c r="H15" s="7" t="str">
        <f t="shared" si="4"/>
        <v>sangee.s .r</v>
      </c>
      <c r="I15" s="7" t="str">
        <f t="shared" si="5"/>
        <v>Sangee.S .R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47DF-E057-41CC-8833-739C609A557E}">
  <dimension ref="A1:I21"/>
  <sheetViews>
    <sheetView workbookViewId="0">
      <selection activeCell="K4" sqref="K4"/>
    </sheetView>
  </sheetViews>
  <sheetFormatPr defaultRowHeight="14.5" x14ac:dyDescent="0.35"/>
  <cols>
    <col min="2" max="2" width="13" customWidth="1"/>
    <col min="3" max="3" width="10.453125" bestFit="1" customWidth="1"/>
    <col min="4" max="4" width="14" customWidth="1"/>
    <col min="5" max="5" width="10.54296875" customWidth="1"/>
    <col min="6" max="6" width="12.7265625" customWidth="1"/>
    <col min="7" max="7" width="12.6328125" customWidth="1"/>
    <col min="8" max="8" width="12.1796875" customWidth="1"/>
    <col min="9" max="9" width="17.26953125" customWidth="1"/>
  </cols>
  <sheetData>
    <row r="1" spans="1:9" x14ac:dyDescent="0.35">
      <c r="A1" t="s">
        <v>38</v>
      </c>
      <c r="B1" t="s">
        <v>0</v>
      </c>
      <c r="C1" t="s">
        <v>39</v>
      </c>
      <c r="D1" t="s">
        <v>43</v>
      </c>
      <c r="E1" t="s">
        <v>44</v>
      </c>
      <c r="F1" t="s">
        <v>55</v>
      </c>
      <c r="G1" t="s">
        <v>40</v>
      </c>
      <c r="H1" t="s">
        <v>41</v>
      </c>
      <c r="I1" t="s">
        <v>42</v>
      </c>
    </row>
    <row r="2" spans="1:9" x14ac:dyDescent="0.35">
      <c r="A2">
        <v>1001</v>
      </c>
      <c r="B2" t="s">
        <v>72</v>
      </c>
      <c r="C2" s="2">
        <v>46002</v>
      </c>
      <c r="D2" t="s">
        <v>45</v>
      </c>
      <c r="E2">
        <v>12</v>
      </c>
      <c r="F2" t="s">
        <v>56</v>
      </c>
      <c r="G2">
        <v>5000</v>
      </c>
      <c r="H2">
        <v>3000</v>
      </c>
      <c r="I2">
        <f t="shared" ref="I2:I15" si="0">G2-H2</f>
        <v>2000</v>
      </c>
    </row>
    <row r="3" spans="1:9" x14ac:dyDescent="0.35">
      <c r="A3">
        <v>1002</v>
      </c>
      <c r="B3" t="s">
        <v>66</v>
      </c>
      <c r="C3" s="2">
        <v>46004</v>
      </c>
      <c r="D3" t="s">
        <v>46</v>
      </c>
      <c r="E3">
        <v>21</v>
      </c>
      <c r="F3" t="s">
        <v>57</v>
      </c>
      <c r="G3">
        <v>6000</v>
      </c>
      <c r="H3">
        <v>2000</v>
      </c>
      <c r="I3">
        <f t="shared" si="0"/>
        <v>4000</v>
      </c>
    </row>
    <row r="4" spans="1:9" x14ac:dyDescent="0.35">
      <c r="A4">
        <v>1003</v>
      </c>
      <c r="B4" t="s">
        <v>70</v>
      </c>
      <c r="C4" s="2">
        <v>45975</v>
      </c>
      <c r="D4" t="s">
        <v>47</v>
      </c>
      <c r="E4">
        <v>34</v>
      </c>
      <c r="F4" t="s">
        <v>58</v>
      </c>
      <c r="G4">
        <v>2000</v>
      </c>
      <c r="H4">
        <v>1000</v>
      </c>
      <c r="I4">
        <f t="shared" si="0"/>
        <v>1000</v>
      </c>
    </row>
    <row r="5" spans="1:9" x14ac:dyDescent="0.35">
      <c r="A5">
        <v>1004</v>
      </c>
      <c r="B5" t="s">
        <v>73</v>
      </c>
      <c r="C5" s="2">
        <v>45823</v>
      </c>
      <c r="D5" t="s">
        <v>48</v>
      </c>
      <c r="E5">
        <v>45</v>
      </c>
      <c r="F5" t="s">
        <v>59</v>
      </c>
      <c r="G5">
        <v>7000</v>
      </c>
      <c r="H5">
        <v>5000</v>
      </c>
      <c r="I5">
        <f t="shared" si="0"/>
        <v>2000</v>
      </c>
    </row>
    <row r="6" spans="1:9" x14ac:dyDescent="0.35">
      <c r="A6">
        <v>1005</v>
      </c>
      <c r="B6" t="s">
        <v>71</v>
      </c>
      <c r="C6" s="2">
        <v>45704</v>
      </c>
      <c r="D6" t="s">
        <v>49</v>
      </c>
      <c r="E6">
        <v>23</v>
      </c>
      <c r="F6" t="s">
        <v>60</v>
      </c>
      <c r="G6">
        <v>5000</v>
      </c>
      <c r="H6">
        <v>3000</v>
      </c>
      <c r="I6">
        <f t="shared" si="0"/>
        <v>2000</v>
      </c>
    </row>
    <row r="7" spans="1:9" x14ac:dyDescent="0.35">
      <c r="A7">
        <v>1006</v>
      </c>
      <c r="B7" t="s">
        <v>69</v>
      </c>
      <c r="C7" s="2">
        <v>45764</v>
      </c>
      <c r="D7" t="s">
        <v>50</v>
      </c>
      <c r="E7">
        <v>12</v>
      </c>
      <c r="F7" t="s">
        <v>58</v>
      </c>
      <c r="G7">
        <v>10000</v>
      </c>
      <c r="H7">
        <v>5000</v>
      </c>
      <c r="I7">
        <f t="shared" si="0"/>
        <v>5000</v>
      </c>
    </row>
    <row r="8" spans="1:9" x14ac:dyDescent="0.35">
      <c r="A8">
        <v>1007</v>
      </c>
      <c r="B8" t="s">
        <v>64</v>
      </c>
      <c r="C8" s="2">
        <v>45765</v>
      </c>
      <c r="D8" t="s">
        <v>51</v>
      </c>
      <c r="E8">
        <v>56</v>
      </c>
      <c r="F8" t="s">
        <v>60</v>
      </c>
      <c r="G8">
        <v>30000</v>
      </c>
      <c r="H8">
        <v>20000</v>
      </c>
      <c r="I8">
        <f t="shared" si="0"/>
        <v>10000</v>
      </c>
    </row>
    <row r="9" spans="1:9" x14ac:dyDescent="0.35">
      <c r="A9">
        <v>1008</v>
      </c>
      <c r="B9" t="s">
        <v>67</v>
      </c>
      <c r="C9" s="2">
        <v>46314</v>
      </c>
      <c r="D9" t="s">
        <v>52</v>
      </c>
      <c r="E9">
        <v>43</v>
      </c>
      <c r="F9" t="s">
        <v>61</v>
      </c>
      <c r="G9">
        <v>20000</v>
      </c>
      <c r="H9">
        <v>10000</v>
      </c>
      <c r="I9">
        <f t="shared" si="0"/>
        <v>10000</v>
      </c>
    </row>
    <row r="10" spans="1:9" x14ac:dyDescent="0.35">
      <c r="A10">
        <v>1009</v>
      </c>
      <c r="B10" t="s">
        <v>65</v>
      </c>
      <c r="C10" s="2">
        <v>45920</v>
      </c>
      <c r="D10" t="s">
        <v>53</v>
      </c>
      <c r="E10">
        <v>23</v>
      </c>
      <c r="F10" t="s">
        <v>62</v>
      </c>
      <c r="G10">
        <v>30000</v>
      </c>
      <c r="H10">
        <v>20000</v>
      </c>
      <c r="I10">
        <f t="shared" si="0"/>
        <v>10000</v>
      </c>
    </row>
    <row r="11" spans="1:9" x14ac:dyDescent="0.35">
      <c r="A11">
        <v>1010</v>
      </c>
      <c r="B11" t="s">
        <v>68</v>
      </c>
      <c r="C11" s="2">
        <v>45951</v>
      </c>
      <c r="D11" t="s">
        <v>49</v>
      </c>
      <c r="E11">
        <v>55</v>
      </c>
      <c r="F11" t="s">
        <v>57</v>
      </c>
      <c r="G11">
        <v>10000</v>
      </c>
      <c r="H11">
        <v>5000</v>
      </c>
      <c r="I11">
        <f t="shared" si="0"/>
        <v>5000</v>
      </c>
    </row>
    <row r="12" spans="1:9" x14ac:dyDescent="0.35">
      <c r="A12">
        <v>1011</v>
      </c>
      <c r="B12" t="s">
        <v>76</v>
      </c>
      <c r="C12" s="2">
        <v>46164</v>
      </c>
      <c r="D12" t="s">
        <v>54</v>
      </c>
      <c r="E12">
        <v>65</v>
      </c>
      <c r="F12" t="s">
        <v>63</v>
      </c>
      <c r="G12">
        <v>20000</v>
      </c>
      <c r="H12">
        <v>10000</v>
      </c>
      <c r="I12">
        <f t="shared" si="0"/>
        <v>10000</v>
      </c>
    </row>
    <row r="13" spans="1:9" x14ac:dyDescent="0.35">
      <c r="A13">
        <v>1012</v>
      </c>
      <c r="B13" t="s">
        <v>75</v>
      </c>
      <c r="C13" s="2">
        <v>45711</v>
      </c>
      <c r="D13" t="s">
        <v>46</v>
      </c>
      <c r="E13">
        <v>23</v>
      </c>
      <c r="F13" t="s">
        <v>60</v>
      </c>
      <c r="G13">
        <v>30000</v>
      </c>
      <c r="H13">
        <v>20000</v>
      </c>
      <c r="I13">
        <f t="shared" si="0"/>
        <v>10000</v>
      </c>
    </row>
    <row r="14" spans="1:9" x14ac:dyDescent="0.35">
      <c r="A14">
        <v>1013</v>
      </c>
      <c r="B14" t="s">
        <v>74</v>
      </c>
      <c r="C14" s="2">
        <v>45954</v>
      </c>
      <c r="D14" t="s">
        <v>53</v>
      </c>
      <c r="E14">
        <v>11</v>
      </c>
      <c r="F14" t="s">
        <v>58</v>
      </c>
      <c r="G14">
        <v>60000</v>
      </c>
      <c r="H14">
        <v>50000</v>
      </c>
      <c r="I14">
        <f t="shared" si="0"/>
        <v>10000</v>
      </c>
    </row>
    <row r="15" spans="1:9" x14ac:dyDescent="0.35">
      <c r="A15">
        <v>1014</v>
      </c>
      <c r="B15" t="s">
        <v>70</v>
      </c>
      <c r="C15" s="2">
        <v>46016</v>
      </c>
      <c r="D15" t="s">
        <v>49</v>
      </c>
      <c r="E15">
        <v>45</v>
      </c>
      <c r="F15" t="s">
        <v>57</v>
      </c>
      <c r="G15">
        <v>25000</v>
      </c>
      <c r="H15">
        <v>10000</v>
      </c>
      <c r="I15">
        <f t="shared" si="0"/>
        <v>15000</v>
      </c>
    </row>
    <row r="18" spans="4:4" x14ac:dyDescent="0.35">
      <c r="D18" t="s">
        <v>77</v>
      </c>
    </row>
    <row r="19" spans="4:4" x14ac:dyDescent="0.35">
      <c r="D19" t="s">
        <v>78</v>
      </c>
    </row>
    <row r="20" spans="4:4" x14ac:dyDescent="0.35">
      <c r="D20" t="s">
        <v>79</v>
      </c>
    </row>
    <row r="21" spans="4:4" x14ac:dyDescent="0.35">
      <c r="D21" t="s">
        <v>80</v>
      </c>
    </row>
  </sheetData>
  <autoFilter ref="A1:I15" xr:uid="{776E0352-A7C0-4AC7-AFBA-0FD9730B8E5F}">
    <sortState ref="A2:I15">
      <sortCondition ref="A1:A1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07A9-7D2E-42C7-B875-C3AC4F31BFF1}">
  <dimension ref="A1:D7"/>
  <sheetViews>
    <sheetView workbookViewId="0">
      <selection activeCell="A2" sqref="A2:D5"/>
    </sheetView>
  </sheetViews>
  <sheetFormatPr defaultRowHeight="14.5" x14ac:dyDescent="0.35"/>
  <cols>
    <col min="1" max="1" width="26.36328125" customWidth="1"/>
    <col min="2" max="2" width="13.08984375" customWidth="1"/>
    <col min="3" max="3" width="12.26953125" customWidth="1"/>
    <col min="4" max="4" width="19.1796875" customWidth="1"/>
  </cols>
  <sheetData>
    <row r="1" spans="1:4" x14ac:dyDescent="0.35">
      <c r="A1" s="11" t="s">
        <v>35</v>
      </c>
      <c r="B1" s="11" t="s">
        <v>34</v>
      </c>
      <c r="C1" s="11" t="s">
        <v>36</v>
      </c>
      <c r="D1" s="11" t="s">
        <v>37</v>
      </c>
    </row>
    <row r="2" spans="1:4" x14ac:dyDescent="0.35">
      <c r="A2" s="8">
        <v>4000000000000</v>
      </c>
      <c r="B2" s="9">
        <v>40179</v>
      </c>
      <c r="C2" s="5">
        <v>72000000</v>
      </c>
      <c r="D2" s="8">
        <f>A2/C2</f>
        <v>55555.555555555555</v>
      </c>
    </row>
    <row r="3" spans="1:4" x14ac:dyDescent="0.35">
      <c r="A3" s="8">
        <v>1000000000000</v>
      </c>
      <c r="B3" s="9">
        <v>42005</v>
      </c>
      <c r="C3" s="5">
        <v>72000000</v>
      </c>
      <c r="D3" s="8">
        <f t="shared" ref="D3:D5" si="0">A3/C3</f>
        <v>13888.888888888889</v>
      </c>
    </row>
    <row r="4" spans="1:4" x14ac:dyDescent="0.35">
      <c r="A4" s="8">
        <v>6000000000000</v>
      </c>
      <c r="B4" s="9">
        <v>43831</v>
      </c>
      <c r="C4" s="5">
        <v>72000000</v>
      </c>
      <c r="D4" s="8">
        <f t="shared" si="0"/>
        <v>83333.333333333328</v>
      </c>
    </row>
    <row r="5" spans="1:4" x14ac:dyDescent="0.35">
      <c r="A5" s="8">
        <v>9000000000000</v>
      </c>
      <c r="B5" s="9">
        <v>45658</v>
      </c>
      <c r="C5" s="5">
        <v>72000000</v>
      </c>
      <c r="D5" s="8">
        <f t="shared" si="0"/>
        <v>125000</v>
      </c>
    </row>
    <row r="6" spans="1:4" x14ac:dyDescent="0.35">
      <c r="D6" s="1"/>
    </row>
    <row r="7" spans="1:4" x14ac:dyDescent="0.35">
      <c r="C7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F75A-7C05-4881-B6BC-8B0092453F69}">
  <dimension ref="A1:F14"/>
  <sheetViews>
    <sheetView workbookViewId="0">
      <selection activeCell="J4" sqref="J4"/>
    </sheetView>
  </sheetViews>
  <sheetFormatPr defaultRowHeight="14.5" x14ac:dyDescent="0.35"/>
  <sheetData>
    <row r="1" spans="1:6" x14ac:dyDescent="0.35">
      <c r="A1" t="s">
        <v>38</v>
      </c>
      <c r="B1" t="s">
        <v>1</v>
      </c>
    </row>
    <row r="2" spans="1:6" x14ac:dyDescent="0.35">
      <c r="A2" s="3">
        <v>1</v>
      </c>
      <c r="B2" s="4">
        <v>1</v>
      </c>
      <c r="C2">
        <v>3</v>
      </c>
      <c r="D2">
        <v>2</v>
      </c>
      <c r="E2" s="4"/>
      <c r="F2" s="4">
        <v>1</v>
      </c>
    </row>
    <row r="3" spans="1:6" x14ac:dyDescent="0.35">
      <c r="A3" s="3">
        <v>2</v>
      </c>
      <c r="B3" s="4">
        <v>2</v>
      </c>
      <c r="C3">
        <v>6</v>
      </c>
      <c r="D3">
        <v>4</v>
      </c>
      <c r="E3" s="4"/>
      <c r="F3" s="4">
        <v>2</v>
      </c>
    </row>
    <row r="4" spans="1:6" x14ac:dyDescent="0.35">
      <c r="A4" s="3">
        <v>3</v>
      </c>
      <c r="B4" s="4">
        <v>3</v>
      </c>
      <c r="C4">
        <v>9</v>
      </c>
      <c r="D4">
        <v>6</v>
      </c>
      <c r="E4" s="4"/>
      <c r="F4" s="4">
        <v>3</v>
      </c>
    </row>
    <row r="5" spans="1:6" x14ac:dyDescent="0.35">
      <c r="A5" s="3">
        <v>4</v>
      </c>
      <c r="B5" s="4">
        <v>4</v>
      </c>
      <c r="C5">
        <v>12</v>
      </c>
      <c r="D5">
        <v>8</v>
      </c>
      <c r="E5" s="4"/>
      <c r="F5" s="4">
        <v>4</v>
      </c>
    </row>
    <row r="6" spans="1:6" x14ac:dyDescent="0.35">
      <c r="A6" s="3">
        <v>5</v>
      </c>
      <c r="B6" s="4">
        <v>5</v>
      </c>
      <c r="C6">
        <v>15</v>
      </c>
      <c r="D6">
        <v>10</v>
      </c>
      <c r="E6" s="4"/>
      <c r="F6" s="4">
        <v>5</v>
      </c>
    </row>
    <row r="7" spans="1:6" x14ac:dyDescent="0.35">
      <c r="A7" s="3">
        <v>6</v>
      </c>
      <c r="B7" s="4">
        <v>6</v>
      </c>
      <c r="C7">
        <v>18</v>
      </c>
      <c r="D7">
        <v>12</v>
      </c>
      <c r="E7" s="4"/>
      <c r="F7" s="4">
        <v>6</v>
      </c>
    </row>
    <row r="8" spans="1:6" x14ac:dyDescent="0.35">
      <c r="A8" s="3">
        <v>7</v>
      </c>
      <c r="B8" s="4">
        <v>7</v>
      </c>
      <c r="C8">
        <v>21</v>
      </c>
      <c r="D8">
        <v>14</v>
      </c>
      <c r="E8" s="4"/>
      <c r="F8" s="4">
        <v>7</v>
      </c>
    </row>
    <row r="9" spans="1:6" x14ac:dyDescent="0.35">
      <c r="A9" s="3">
        <v>8</v>
      </c>
      <c r="B9" s="4">
        <v>8</v>
      </c>
      <c r="C9">
        <v>24</v>
      </c>
      <c r="D9">
        <v>16</v>
      </c>
      <c r="E9" s="4"/>
      <c r="F9" s="4">
        <v>8</v>
      </c>
    </row>
    <row r="10" spans="1:6" x14ac:dyDescent="0.35">
      <c r="A10" s="3">
        <v>9</v>
      </c>
      <c r="B10" s="4">
        <v>9</v>
      </c>
      <c r="C10">
        <v>27</v>
      </c>
      <c r="D10">
        <v>18</v>
      </c>
      <c r="E10" s="4"/>
      <c r="F10" s="4">
        <v>9</v>
      </c>
    </row>
    <row r="11" spans="1:6" x14ac:dyDescent="0.35">
      <c r="A11" s="3">
        <v>10</v>
      </c>
      <c r="B11" s="4">
        <v>10</v>
      </c>
      <c r="C11">
        <v>30</v>
      </c>
      <c r="D11">
        <v>20</v>
      </c>
      <c r="E11" s="4"/>
      <c r="F11" s="4">
        <v>10</v>
      </c>
    </row>
    <row r="12" spans="1:6" x14ac:dyDescent="0.35">
      <c r="A12" s="3">
        <v>11</v>
      </c>
      <c r="B12" s="4">
        <v>11</v>
      </c>
      <c r="C12">
        <v>33</v>
      </c>
      <c r="D12">
        <v>22</v>
      </c>
      <c r="E12" s="4"/>
      <c r="F12" s="4">
        <v>11</v>
      </c>
    </row>
    <row r="13" spans="1:6" x14ac:dyDescent="0.35">
      <c r="A13" s="3">
        <v>12</v>
      </c>
      <c r="B13" s="4">
        <v>12</v>
      </c>
      <c r="C13">
        <v>36</v>
      </c>
      <c r="D13">
        <v>24</v>
      </c>
      <c r="E13" s="4"/>
      <c r="F13" s="4">
        <v>12</v>
      </c>
    </row>
    <row r="14" spans="1:6" x14ac:dyDescent="0.35">
      <c r="A14" s="3">
        <v>13</v>
      </c>
      <c r="B14" s="4">
        <v>13</v>
      </c>
      <c r="C14">
        <v>39</v>
      </c>
      <c r="D14">
        <v>26</v>
      </c>
      <c r="E14" s="4"/>
      <c r="F14" s="4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2025-12-08T09:50:22Z</dcterms:created>
  <dcterms:modified xsi:type="dcterms:W3CDTF">2025-12-12T11:58:25Z</dcterms:modified>
</cp:coreProperties>
</file>