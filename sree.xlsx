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MVN DATA ANALYST\"/>
    </mc:Choice>
  </mc:AlternateContent>
  <xr:revisionPtr revIDLastSave="0" documentId="13_ncr:1_{C1348BB5-8FD6-494A-844A-DD48FEA7567A}" xr6:coauthVersionLast="41" xr6:coauthVersionMax="41" xr10:uidLastSave="{00000000-0000-0000-0000-000000000000}"/>
  <bookViews>
    <workbookView xWindow="-110" yWindow="-110" windowWidth="19420" windowHeight="10300" activeTab="4" xr2:uid="{D56B717A-ABD7-440E-8F6D-2D732A5D746C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int">Sheet3!$J$9</definedName>
    <definedName name="intr">Sheet3!$J$9</definedName>
    <definedName name="mon">Sheet3!$J$8</definedName>
    <definedName name="monpa">Sheet3!$J$8</definedName>
    <definedName name="noy">Sheet3!$I$10</definedName>
    <definedName name="noys">Sheet3!$J$10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5" l="1"/>
  <c r="C3" i="5" l="1"/>
  <c r="D12" i="4" l="1"/>
  <c r="D7" i="4" l="1"/>
  <c r="J12" i="3" l="1"/>
  <c r="J14" i="3" s="1"/>
  <c r="E87" i="3" l="1"/>
  <c r="E9" i="3"/>
  <c r="E8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10" i="3"/>
  <c r="D9" i="3"/>
  <c r="C8" i="3"/>
  <c r="F8" i="3" s="1"/>
  <c r="C9" i="3" s="1"/>
  <c r="F9" i="3" s="1"/>
  <c r="C10" i="3" s="1"/>
  <c r="D8" i="3"/>
  <c r="F7" i="3"/>
  <c r="E7" i="3"/>
  <c r="D7" i="3"/>
  <c r="E10" i="3" l="1"/>
  <c r="F10" i="3" s="1"/>
  <c r="C11" i="3" s="1"/>
  <c r="F21" i="2"/>
  <c r="F6" i="2"/>
  <c r="B7" i="2" s="1"/>
  <c r="E6" i="2"/>
  <c r="E22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C22" i="2"/>
  <c r="C6" i="2"/>
  <c r="F5" i="2"/>
  <c r="B6" i="2" s="1"/>
  <c r="E5" i="2"/>
  <c r="D5" i="2"/>
  <c r="C5" i="2"/>
  <c r="B22" i="2"/>
  <c r="F22" i="2" s="1"/>
  <c r="B23" i="2" s="1"/>
  <c r="B5" i="2"/>
  <c r="D4" i="2"/>
  <c r="C4" i="2"/>
  <c r="E4" i="2" s="1"/>
  <c r="F4" i="2" s="1"/>
  <c r="B4" i="1"/>
  <c r="C4" i="1" s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6" i="1"/>
  <c r="D5" i="1"/>
  <c r="D4" i="1"/>
  <c r="E11" i="3" l="1"/>
  <c r="F11" i="3" s="1"/>
  <c r="C12" i="3" s="1"/>
  <c r="C23" i="2"/>
  <c r="E23" i="2" s="1"/>
  <c r="F23" i="2" s="1"/>
  <c r="B24" i="2" s="1"/>
  <c r="C7" i="2"/>
  <c r="E7" i="2" s="1"/>
  <c r="F7" i="2" s="1"/>
  <c r="B8" i="2" s="1"/>
  <c r="E4" i="1"/>
  <c r="F4" i="1" s="1"/>
  <c r="B5" i="1" s="1"/>
  <c r="C5" i="1" s="1"/>
  <c r="E5" i="1" s="1"/>
  <c r="F5" i="1" s="1"/>
  <c r="B6" i="1" s="1"/>
  <c r="C6" i="1" s="1"/>
  <c r="E6" i="1" s="1"/>
  <c r="F6" i="1" s="1"/>
  <c r="B7" i="1" s="1"/>
  <c r="E12" i="3" l="1"/>
  <c r="F12" i="3" s="1"/>
  <c r="C13" i="3" s="1"/>
  <c r="C24" i="2"/>
  <c r="E24" i="2" s="1"/>
  <c r="F24" i="2"/>
  <c r="B25" i="2" s="1"/>
  <c r="F8" i="2"/>
  <c r="B9" i="2" s="1"/>
  <c r="C8" i="2"/>
  <c r="E8" i="2" s="1"/>
  <c r="C7" i="1"/>
  <c r="E7" i="1" s="1"/>
  <c r="F7" i="1" s="1"/>
  <c r="B8" i="1" s="1"/>
  <c r="F13" i="3" l="1"/>
  <c r="C14" i="3" s="1"/>
  <c r="E13" i="3"/>
  <c r="C25" i="2"/>
  <c r="E25" i="2" s="1"/>
  <c r="F25" i="2"/>
  <c r="B26" i="2" s="1"/>
  <c r="C9" i="2"/>
  <c r="E9" i="2" s="1"/>
  <c r="F9" i="2"/>
  <c r="B10" i="2" s="1"/>
  <c r="C8" i="1"/>
  <c r="E8" i="1" s="1"/>
  <c r="F8" i="1" s="1"/>
  <c r="B9" i="1" s="1"/>
  <c r="E14" i="3" l="1"/>
  <c r="F14" i="3" s="1"/>
  <c r="C15" i="3" s="1"/>
  <c r="C26" i="2"/>
  <c r="E26" i="2" s="1"/>
  <c r="F26" i="2"/>
  <c r="B27" i="2" s="1"/>
  <c r="C10" i="2"/>
  <c r="E10" i="2" s="1"/>
  <c r="F10" i="2" s="1"/>
  <c r="B11" i="2" s="1"/>
  <c r="C9" i="1"/>
  <c r="E9" i="1" s="1"/>
  <c r="F9" i="1" s="1"/>
  <c r="B10" i="1" s="1"/>
  <c r="E15" i="3" l="1"/>
  <c r="F15" i="3" s="1"/>
  <c r="C16" i="3" s="1"/>
  <c r="C27" i="2"/>
  <c r="E27" i="2" s="1"/>
  <c r="F27" i="2" s="1"/>
  <c r="C11" i="2"/>
  <c r="E11" i="2" s="1"/>
  <c r="F11" i="2" s="1"/>
  <c r="B12" i="2" s="1"/>
  <c r="C10" i="1"/>
  <c r="E10" i="1" s="1"/>
  <c r="F10" i="1" s="1"/>
  <c r="B11" i="1" s="1"/>
  <c r="E16" i="3" l="1"/>
  <c r="F16" i="3" s="1"/>
  <c r="C17" i="3" s="1"/>
  <c r="C12" i="2"/>
  <c r="E12" i="2" s="1"/>
  <c r="F12" i="2"/>
  <c r="B13" i="2" s="1"/>
  <c r="C11" i="1"/>
  <c r="E11" i="1" s="1"/>
  <c r="F11" i="1" s="1"/>
  <c r="B12" i="1" s="1"/>
  <c r="C12" i="1" s="1"/>
  <c r="E12" i="1" s="1"/>
  <c r="F12" i="1" s="1"/>
  <c r="B13" i="1" s="1"/>
  <c r="C13" i="1" s="1"/>
  <c r="E13" i="1" s="1"/>
  <c r="F17" i="3" l="1"/>
  <c r="C18" i="3" s="1"/>
  <c r="E17" i="3"/>
  <c r="C13" i="2"/>
  <c r="E13" i="2" s="1"/>
  <c r="F13" i="2" s="1"/>
  <c r="B14" i="2" s="1"/>
  <c r="F13" i="1"/>
  <c r="B14" i="1" s="1"/>
  <c r="C14" i="1"/>
  <c r="E14" i="1" s="1"/>
  <c r="F14" i="1" s="1"/>
  <c r="B15" i="1" s="1"/>
  <c r="E18" i="3" l="1"/>
  <c r="F18" i="3" s="1"/>
  <c r="C19" i="3" s="1"/>
  <c r="C14" i="2"/>
  <c r="E14" i="2" s="1"/>
  <c r="F14" i="2" s="1"/>
  <c r="B15" i="2" s="1"/>
  <c r="C15" i="1"/>
  <c r="E15" i="1" s="1"/>
  <c r="F15" i="1" s="1"/>
  <c r="B16" i="1" s="1"/>
  <c r="E19" i="3" l="1"/>
  <c r="F19" i="3" s="1"/>
  <c r="C20" i="3" s="1"/>
  <c r="C15" i="2"/>
  <c r="E15" i="2" s="1"/>
  <c r="F15" i="2" s="1"/>
  <c r="B16" i="2" s="1"/>
  <c r="C16" i="1"/>
  <c r="E16" i="1" s="1"/>
  <c r="F16" i="1" s="1"/>
  <c r="B17" i="1" s="1"/>
  <c r="E20" i="3" l="1"/>
  <c r="F20" i="3" s="1"/>
  <c r="C21" i="3" s="1"/>
  <c r="C16" i="2"/>
  <c r="E16" i="2" s="1"/>
  <c r="F16" i="2" s="1"/>
  <c r="B17" i="2" s="1"/>
  <c r="C17" i="1"/>
  <c r="E17" i="1" s="1"/>
  <c r="F17" i="1" s="1"/>
  <c r="B18" i="1" s="1"/>
  <c r="F21" i="3" l="1"/>
  <c r="C22" i="3" s="1"/>
  <c r="E21" i="3"/>
  <c r="F17" i="2"/>
  <c r="B18" i="2" s="1"/>
  <c r="C17" i="2"/>
  <c r="E17" i="2" s="1"/>
  <c r="C18" i="1"/>
  <c r="E18" i="1" s="1"/>
  <c r="F18" i="1" s="1"/>
  <c r="B19" i="1" s="1"/>
  <c r="F22" i="3" l="1"/>
  <c r="C23" i="3" s="1"/>
  <c r="E22" i="3"/>
  <c r="C18" i="2"/>
  <c r="E18" i="2" s="1"/>
  <c r="F18" i="2" s="1"/>
  <c r="B19" i="2" s="1"/>
  <c r="C19" i="1"/>
  <c r="E19" i="1" s="1"/>
  <c r="F19" i="1" s="1"/>
  <c r="B20" i="1" s="1"/>
  <c r="E23" i="3" l="1"/>
  <c r="F23" i="3" s="1"/>
  <c r="C24" i="3" s="1"/>
  <c r="C19" i="2"/>
  <c r="E19" i="2" s="1"/>
  <c r="F19" i="2" s="1"/>
  <c r="B20" i="2" s="1"/>
  <c r="C20" i="1"/>
  <c r="E20" i="1" s="1"/>
  <c r="F20" i="1"/>
  <c r="B21" i="1" s="1"/>
  <c r="E24" i="3" l="1"/>
  <c r="F24" i="3" s="1"/>
  <c r="C25" i="3" s="1"/>
  <c r="C20" i="2"/>
  <c r="E20" i="2" s="1"/>
  <c r="F20" i="2" s="1"/>
  <c r="B21" i="2" s="1"/>
  <c r="C21" i="2" s="1"/>
  <c r="E21" i="2" s="1"/>
  <c r="C21" i="1"/>
  <c r="E21" i="1" s="1"/>
  <c r="F21" i="1" s="1"/>
  <c r="B22" i="1" s="1"/>
  <c r="F25" i="3" l="1"/>
  <c r="C26" i="3" s="1"/>
  <c r="E25" i="3"/>
  <c r="C22" i="1"/>
  <c r="E22" i="1" s="1"/>
  <c r="F22" i="1" s="1"/>
  <c r="B23" i="1" s="1"/>
  <c r="E26" i="3" l="1"/>
  <c r="F26" i="3" s="1"/>
  <c r="C27" i="3" s="1"/>
  <c r="C23" i="1"/>
  <c r="E23" i="1" s="1"/>
  <c r="F23" i="1" s="1"/>
  <c r="B24" i="1" s="1"/>
  <c r="F27" i="3" l="1"/>
  <c r="C28" i="3" s="1"/>
  <c r="E27" i="3"/>
  <c r="C24" i="1"/>
  <c r="E24" i="1" s="1"/>
  <c r="F24" i="1" s="1"/>
  <c r="B25" i="1" s="1"/>
  <c r="F28" i="3" l="1"/>
  <c r="C29" i="3" s="1"/>
  <c r="E28" i="3"/>
  <c r="C25" i="1"/>
  <c r="E25" i="1" s="1"/>
  <c r="F25" i="1" s="1"/>
  <c r="B26" i="1" s="1"/>
  <c r="F29" i="3" l="1"/>
  <c r="C30" i="3" s="1"/>
  <c r="E29" i="3"/>
  <c r="C26" i="1"/>
  <c r="E26" i="1" s="1"/>
  <c r="F26" i="1" s="1"/>
  <c r="B27" i="1" s="1"/>
  <c r="F30" i="3" l="1"/>
  <c r="C31" i="3" s="1"/>
  <c r="E30" i="3"/>
  <c r="C27" i="1"/>
  <c r="E27" i="1" s="1"/>
  <c r="F27" i="1" s="1"/>
  <c r="B28" i="1" s="1"/>
  <c r="E31" i="3" l="1"/>
  <c r="F31" i="3" s="1"/>
  <c r="C32" i="3" s="1"/>
  <c r="C28" i="1"/>
  <c r="E28" i="1" s="1"/>
  <c r="F28" i="1" s="1"/>
  <c r="B29" i="1" s="1"/>
  <c r="E32" i="3" l="1"/>
  <c r="F32" i="3" s="1"/>
  <c r="C33" i="3" s="1"/>
  <c r="C29" i="1"/>
  <c r="E29" i="1" s="1"/>
  <c r="F29" i="1"/>
  <c r="B30" i="1" s="1"/>
  <c r="F33" i="3" l="1"/>
  <c r="C34" i="3" s="1"/>
  <c r="E33" i="3"/>
  <c r="C30" i="1"/>
  <c r="E30" i="1" s="1"/>
  <c r="F30" i="1" s="1"/>
  <c r="B31" i="1" s="1"/>
  <c r="E34" i="3" l="1"/>
  <c r="F34" i="3" s="1"/>
  <c r="C35" i="3" s="1"/>
  <c r="C31" i="1"/>
  <c r="E31" i="1" s="1"/>
  <c r="F31" i="1" s="1"/>
  <c r="B32" i="1" s="1"/>
  <c r="F35" i="3" l="1"/>
  <c r="C36" i="3" s="1"/>
  <c r="E35" i="3"/>
  <c r="C32" i="1"/>
  <c r="E32" i="1" s="1"/>
  <c r="F32" i="1" s="1"/>
  <c r="B33" i="1" s="1"/>
  <c r="F36" i="3" l="1"/>
  <c r="C37" i="3" s="1"/>
  <c r="E36" i="3"/>
  <c r="C33" i="1"/>
  <c r="E33" i="1" s="1"/>
  <c r="F33" i="1" s="1"/>
  <c r="B34" i="1" s="1"/>
  <c r="E37" i="3" l="1"/>
  <c r="F37" i="3" s="1"/>
  <c r="C38" i="3" s="1"/>
  <c r="C34" i="1"/>
  <c r="E34" i="1" s="1"/>
  <c r="F34" i="1" s="1"/>
  <c r="B35" i="1" s="1"/>
  <c r="E38" i="3" l="1"/>
  <c r="F38" i="3" s="1"/>
  <c r="C39" i="3" s="1"/>
  <c r="C35" i="1"/>
  <c r="E35" i="1" s="1"/>
  <c r="F35" i="1" s="1"/>
  <c r="B36" i="1" s="1"/>
  <c r="E39" i="3" l="1"/>
  <c r="F39" i="3" s="1"/>
  <c r="C40" i="3" s="1"/>
  <c r="C36" i="1"/>
  <c r="E36" i="1" s="1"/>
  <c r="F36" i="1"/>
  <c r="B37" i="1" s="1"/>
  <c r="E40" i="3" l="1"/>
  <c r="F40" i="3" s="1"/>
  <c r="C41" i="3" s="1"/>
  <c r="C37" i="1"/>
  <c r="E37" i="1" s="1"/>
  <c r="F37" i="1" s="1"/>
  <c r="B38" i="1" s="1"/>
  <c r="E41" i="3" l="1"/>
  <c r="F41" i="3" s="1"/>
  <c r="C42" i="3" s="1"/>
  <c r="C38" i="1"/>
  <c r="E38" i="1" s="1"/>
  <c r="F38" i="1"/>
  <c r="B39" i="1" s="1"/>
  <c r="E42" i="3" l="1"/>
  <c r="F42" i="3" s="1"/>
  <c r="C43" i="3" s="1"/>
  <c r="C39" i="1"/>
  <c r="E39" i="1" s="1"/>
  <c r="F39" i="1" s="1"/>
  <c r="E43" i="3" l="1"/>
  <c r="F43" i="3" s="1"/>
  <c r="C44" i="3" s="1"/>
  <c r="E44" i="3" l="1"/>
  <c r="F44" i="3" s="1"/>
  <c r="C45" i="3" s="1"/>
  <c r="E45" i="3" l="1"/>
  <c r="F45" i="3" s="1"/>
  <c r="C46" i="3" s="1"/>
  <c r="E46" i="3" l="1"/>
  <c r="F46" i="3" s="1"/>
  <c r="C47" i="3" s="1"/>
  <c r="F47" i="3" l="1"/>
  <c r="C48" i="3" s="1"/>
  <c r="E47" i="3"/>
  <c r="F48" i="3" l="1"/>
  <c r="C49" i="3" s="1"/>
  <c r="E48" i="3"/>
  <c r="F49" i="3" l="1"/>
  <c r="C50" i="3" s="1"/>
  <c r="E49" i="3"/>
  <c r="E50" i="3" l="1"/>
  <c r="F50" i="3" s="1"/>
  <c r="C51" i="3" s="1"/>
  <c r="E51" i="3" l="1"/>
  <c r="F51" i="3" s="1"/>
  <c r="C52" i="3" s="1"/>
  <c r="E52" i="3" l="1"/>
  <c r="F52" i="3" s="1"/>
  <c r="C53" i="3" s="1"/>
  <c r="E53" i="3" l="1"/>
  <c r="F53" i="3" s="1"/>
  <c r="C54" i="3" s="1"/>
  <c r="F54" i="3" l="1"/>
  <c r="C55" i="3" s="1"/>
  <c r="E54" i="3"/>
  <c r="E55" i="3" l="1"/>
  <c r="F55" i="3" s="1"/>
  <c r="C56" i="3" s="1"/>
  <c r="E56" i="3" l="1"/>
  <c r="F56" i="3" s="1"/>
  <c r="C57" i="3" s="1"/>
  <c r="E57" i="3" l="1"/>
  <c r="F57" i="3" s="1"/>
  <c r="C58" i="3" s="1"/>
  <c r="E58" i="3" l="1"/>
  <c r="F58" i="3" s="1"/>
  <c r="C59" i="3" s="1"/>
  <c r="E59" i="3" l="1"/>
  <c r="F59" i="3" s="1"/>
  <c r="C60" i="3" s="1"/>
  <c r="F60" i="3" l="1"/>
  <c r="C61" i="3" s="1"/>
  <c r="E60" i="3"/>
  <c r="E61" i="3" l="1"/>
  <c r="F61" i="3" s="1"/>
  <c r="C62" i="3" s="1"/>
  <c r="F62" i="3" l="1"/>
  <c r="C63" i="3" s="1"/>
  <c r="E62" i="3"/>
  <c r="E63" i="3" l="1"/>
  <c r="F63" i="3" s="1"/>
  <c r="C64" i="3" s="1"/>
  <c r="F64" i="3" l="1"/>
  <c r="C65" i="3" s="1"/>
  <c r="E64" i="3"/>
  <c r="F65" i="3" l="1"/>
  <c r="C66" i="3" s="1"/>
  <c r="E65" i="3"/>
  <c r="F66" i="3" l="1"/>
  <c r="C67" i="3" s="1"/>
  <c r="E66" i="3"/>
  <c r="E67" i="3" l="1"/>
  <c r="F67" i="3" s="1"/>
  <c r="C68" i="3" s="1"/>
  <c r="E68" i="3" l="1"/>
  <c r="F68" i="3" s="1"/>
  <c r="C69" i="3" s="1"/>
  <c r="E69" i="3" l="1"/>
  <c r="F69" i="3" s="1"/>
  <c r="C70" i="3" s="1"/>
  <c r="F70" i="3" l="1"/>
  <c r="C71" i="3" s="1"/>
  <c r="E70" i="3"/>
  <c r="F71" i="3" l="1"/>
  <c r="C72" i="3" s="1"/>
  <c r="E71" i="3"/>
  <c r="F72" i="3" l="1"/>
  <c r="C73" i="3" s="1"/>
  <c r="E72" i="3"/>
  <c r="E73" i="3" l="1"/>
  <c r="F73" i="3" s="1"/>
  <c r="C74" i="3" s="1"/>
  <c r="F74" i="3" l="1"/>
  <c r="C75" i="3" s="1"/>
  <c r="E74" i="3"/>
  <c r="F75" i="3" l="1"/>
  <c r="C76" i="3" s="1"/>
  <c r="E75" i="3"/>
  <c r="F76" i="3" l="1"/>
  <c r="C77" i="3" s="1"/>
  <c r="E76" i="3"/>
  <c r="E77" i="3" l="1"/>
  <c r="F77" i="3" s="1"/>
  <c r="C78" i="3" s="1"/>
  <c r="F78" i="3" l="1"/>
  <c r="C79" i="3" s="1"/>
  <c r="E78" i="3"/>
  <c r="F79" i="3" l="1"/>
  <c r="C80" i="3" s="1"/>
  <c r="E79" i="3"/>
  <c r="F80" i="3" l="1"/>
  <c r="C81" i="3" s="1"/>
  <c r="E80" i="3"/>
  <c r="E81" i="3" l="1"/>
  <c r="F81" i="3" s="1"/>
  <c r="C82" i="3" s="1"/>
  <c r="E82" i="3" l="1"/>
  <c r="F82" i="3" s="1"/>
  <c r="C83" i="3" s="1"/>
  <c r="E83" i="3" l="1"/>
  <c r="F83" i="3" s="1"/>
  <c r="C84" i="3" s="1"/>
  <c r="E84" i="3" l="1"/>
  <c r="F84" i="3" s="1"/>
  <c r="C85" i="3" s="1"/>
  <c r="E85" i="3" l="1"/>
  <c r="F85" i="3" s="1"/>
  <c r="C86" i="3" s="1"/>
  <c r="E86" i="3" l="1"/>
  <c r="F86" i="3" s="1"/>
  <c r="C87" i="3" s="1"/>
  <c r="F87" i="3" s="1"/>
  <c r="C88" i="3" s="1"/>
  <c r="F88" i="3" l="1"/>
  <c r="C89" i="3" s="1"/>
  <c r="E88" i="3"/>
  <c r="E89" i="3" l="1"/>
  <c r="F89" i="3" s="1"/>
  <c r="C90" i="3" s="1"/>
  <c r="E90" i="3" l="1"/>
  <c r="F90" i="3" s="1"/>
</calcChain>
</file>

<file path=xl/sharedStrings.xml><?xml version="1.0" encoding="utf-8"?>
<sst xmlns="http://schemas.openxmlformats.org/spreadsheetml/2006/main" count="40" uniqueCount="30">
  <si>
    <t>loan amount</t>
  </si>
  <si>
    <t>monthly due</t>
  </si>
  <si>
    <t>interest rate</t>
  </si>
  <si>
    <t>sno</t>
  </si>
  <si>
    <t>interest amount</t>
  </si>
  <si>
    <t>balance amount</t>
  </si>
  <si>
    <t>monthly paid</t>
  </si>
  <si>
    <t>principle paid</t>
  </si>
  <si>
    <t>interset rate</t>
  </si>
  <si>
    <t>s.no</t>
  </si>
  <si>
    <t>interest amut</t>
  </si>
  <si>
    <t xml:space="preserve">monthly </t>
  </si>
  <si>
    <t>monthly deposite</t>
  </si>
  <si>
    <t>no.of months</t>
  </si>
  <si>
    <t>monthly</t>
  </si>
  <si>
    <t>interest</t>
  </si>
  <si>
    <t>int.amount</t>
  </si>
  <si>
    <t>total amount</t>
  </si>
  <si>
    <t>pre bal</t>
  </si>
  <si>
    <t>np.of years</t>
  </si>
  <si>
    <t>compound int</t>
  </si>
  <si>
    <t>your salary</t>
  </si>
  <si>
    <t>expenses</t>
  </si>
  <si>
    <t>no.of years</t>
  </si>
  <si>
    <t>savings months</t>
  </si>
  <si>
    <t>dis</t>
  </si>
  <si>
    <t>time</t>
  </si>
  <si>
    <t>speed</t>
  </si>
  <si>
    <t>km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</si>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</sst>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NumberFormat="1"/>
    <xf numFmtId="0" fontId="0" fillId="0" borderId="0" xfId="0" applyProtection="1"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7FC5D-E137-4F5F-80D2-E4880CF7799D}">
  <dimension ref="A1:G40"/>
  <sheetViews>
    <sheetView workbookViewId="0">
      <selection activeCell="F1" sqref="F1"/>
    </sheetView>
  </sheetViews>
  <sheetFormatPr defaultRowHeight="14.5" x14ac:dyDescent="0.35"/>
  <cols>
    <col min="1" max="1" width="13.6328125" customWidth="1"/>
    <col min="2" max="2" width="11.54296875" customWidth="1"/>
    <col min="3" max="4" width="15.90625" customWidth="1"/>
    <col min="5" max="5" width="11.7265625" customWidth="1"/>
    <col min="6" max="6" width="16" customWidth="1"/>
  </cols>
  <sheetData>
    <row r="1" spans="1:7" x14ac:dyDescent="0.35">
      <c r="B1" t="s">
        <v>2</v>
      </c>
      <c r="C1">
        <v>1.6</v>
      </c>
      <c r="D1" t="s">
        <v>1</v>
      </c>
      <c r="E1">
        <v>1845</v>
      </c>
      <c r="F1" t="s">
        <v>0</v>
      </c>
      <c r="G1">
        <v>50000</v>
      </c>
    </row>
    <row r="3" spans="1:7" x14ac:dyDescent="0.35">
      <c r="A3" t="s">
        <v>3</v>
      </c>
      <c r="B3" t="s">
        <v>0</v>
      </c>
      <c r="C3" t="s">
        <v>4</v>
      </c>
      <c r="D3" t="s">
        <v>6</v>
      </c>
      <c r="E3" t="s">
        <v>7</v>
      </c>
      <c r="F3" t="s">
        <v>5</v>
      </c>
    </row>
    <row r="4" spans="1:7" x14ac:dyDescent="0.35">
      <c r="A4">
        <v>1</v>
      </c>
      <c r="B4" s="1">
        <f>G1</f>
        <v>50000</v>
      </c>
      <c r="C4" s="1">
        <f>B4*$C$1/100</f>
        <v>800</v>
      </c>
      <c r="D4" s="1">
        <f>$E$1</f>
        <v>1845</v>
      </c>
      <c r="E4" s="1">
        <f>D4-C4</f>
        <v>1045</v>
      </c>
      <c r="F4" s="1">
        <f>B4-E4</f>
        <v>48955</v>
      </c>
    </row>
    <row r="5" spans="1:7" x14ac:dyDescent="0.35">
      <c r="A5">
        <v>2</v>
      </c>
      <c r="B5" s="1">
        <f>F4</f>
        <v>48955</v>
      </c>
      <c r="C5" s="1">
        <f>B5*$C$1/100</f>
        <v>783.28</v>
      </c>
      <c r="D5" s="1">
        <f>$E$1</f>
        <v>1845</v>
      </c>
      <c r="E5" s="1">
        <f>D5-C5</f>
        <v>1061.72</v>
      </c>
      <c r="F5" s="1">
        <f>B5-E5</f>
        <v>47893.279999999999</v>
      </c>
    </row>
    <row r="6" spans="1:7" x14ac:dyDescent="0.35">
      <c r="A6">
        <v>3</v>
      </c>
      <c r="B6" s="1">
        <f>F5</f>
        <v>47893.279999999999</v>
      </c>
      <c r="C6" s="1">
        <f>B6*$C$1/100</f>
        <v>766.29248000000007</v>
      </c>
      <c r="D6" s="1">
        <f>$E$1</f>
        <v>1845</v>
      </c>
      <c r="E6" s="1">
        <f>D6-C6</f>
        <v>1078.7075199999999</v>
      </c>
      <c r="F6" s="1">
        <f>B6-E6</f>
        <v>46814.572480000003</v>
      </c>
    </row>
    <row r="7" spans="1:7" x14ac:dyDescent="0.35">
      <c r="A7">
        <v>4</v>
      </c>
      <c r="B7" s="1">
        <f t="shared" ref="B7:B39" si="0">F6</f>
        <v>46814.572480000003</v>
      </c>
      <c r="C7" s="1">
        <f>B7*$C$1/100</f>
        <v>749.03315968000015</v>
      </c>
      <c r="D7" s="1">
        <f t="shared" ref="D7:D39" si="1">$E$1</f>
        <v>1845</v>
      </c>
      <c r="E7" s="1">
        <f t="shared" ref="E7:E39" si="2">D7-C7</f>
        <v>1095.9668403199998</v>
      </c>
      <c r="F7" s="1">
        <f t="shared" ref="F7:F39" si="3">B7-E7</f>
        <v>45718.605639680005</v>
      </c>
    </row>
    <row r="8" spans="1:7" x14ac:dyDescent="0.35">
      <c r="A8">
        <v>5</v>
      </c>
      <c r="B8" s="1">
        <f t="shared" si="0"/>
        <v>45718.605639680005</v>
      </c>
      <c r="C8" s="1">
        <f t="shared" ref="C8:C39" si="4">B8*$C$1/100</f>
        <v>731.49769023488011</v>
      </c>
      <c r="D8" s="1">
        <f t="shared" si="1"/>
        <v>1845</v>
      </c>
      <c r="E8" s="1">
        <f t="shared" si="2"/>
        <v>1113.5023097651199</v>
      </c>
      <c r="F8" s="1">
        <f t="shared" si="3"/>
        <v>44605.103329914884</v>
      </c>
    </row>
    <row r="9" spans="1:7" x14ac:dyDescent="0.35">
      <c r="A9">
        <v>6</v>
      </c>
      <c r="B9" s="1">
        <f t="shared" si="0"/>
        <v>44605.103329914884</v>
      </c>
      <c r="C9" s="1">
        <f t="shared" si="4"/>
        <v>713.68165327863812</v>
      </c>
      <c r="D9" s="1">
        <f t="shared" si="1"/>
        <v>1845</v>
      </c>
      <c r="E9" s="1">
        <f t="shared" si="2"/>
        <v>1131.3183467213619</v>
      </c>
      <c r="F9" s="1">
        <f t="shared" si="3"/>
        <v>43473.784983193524</v>
      </c>
    </row>
    <row r="10" spans="1:7" x14ac:dyDescent="0.35">
      <c r="A10">
        <v>7</v>
      </c>
      <c r="B10" s="1">
        <f t="shared" si="0"/>
        <v>43473.784983193524</v>
      </c>
      <c r="C10" s="1">
        <f t="shared" si="4"/>
        <v>695.5805597310964</v>
      </c>
      <c r="D10" s="1">
        <f t="shared" si="1"/>
        <v>1845</v>
      </c>
      <c r="E10" s="1">
        <f t="shared" si="2"/>
        <v>1149.4194402689036</v>
      </c>
      <c r="F10" s="1">
        <f t="shared" si="3"/>
        <v>42324.365542924621</v>
      </c>
    </row>
    <row r="11" spans="1:7" x14ac:dyDescent="0.35">
      <c r="A11">
        <v>8</v>
      </c>
      <c r="B11" s="1">
        <f t="shared" si="0"/>
        <v>42324.365542924621</v>
      </c>
      <c r="C11" s="1">
        <f t="shared" si="4"/>
        <v>677.18984868679399</v>
      </c>
      <c r="D11" s="1">
        <f t="shared" si="1"/>
        <v>1845</v>
      </c>
      <c r="E11" s="1">
        <f t="shared" si="2"/>
        <v>1167.810151313206</v>
      </c>
      <c r="F11" s="1">
        <f t="shared" si="3"/>
        <v>41156.555391611415</v>
      </c>
    </row>
    <row r="12" spans="1:7" x14ac:dyDescent="0.35">
      <c r="A12">
        <v>9</v>
      </c>
      <c r="B12" s="1">
        <f t="shared" si="0"/>
        <v>41156.555391611415</v>
      </c>
      <c r="C12" s="1">
        <f t="shared" si="4"/>
        <v>658.50488626578272</v>
      </c>
      <c r="D12" s="1">
        <f t="shared" si="1"/>
        <v>1845</v>
      </c>
      <c r="E12" s="1">
        <f t="shared" si="2"/>
        <v>1186.4951137342173</v>
      </c>
      <c r="F12" s="1">
        <f t="shared" si="3"/>
        <v>39970.060277877201</v>
      </c>
    </row>
    <row r="13" spans="1:7" x14ac:dyDescent="0.35">
      <c r="A13">
        <v>10</v>
      </c>
      <c r="B13" s="1">
        <f t="shared" si="0"/>
        <v>39970.060277877201</v>
      </c>
      <c r="C13" s="1">
        <f t="shared" si="4"/>
        <v>639.52096444603524</v>
      </c>
      <c r="D13" s="1">
        <f t="shared" si="1"/>
        <v>1845</v>
      </c>
      <c r="E13" s="1">
        <f t="shared" si="2"/>
        <v>1205.4790355539649</v>
      </c>
      <c r="F13" s="1">
        <f t="shared" si="3"/>
        <v>38764.581242323235</v>
      </c>
    </row>
    <row r="14" spans="1:7" x14ac:dyDescent="0.35">
      <c r="A14">
        <v>11</v>
      </c>
      <c r="B14" s="1">
        <f t="shared" si="0"/>
        <v>38764.581242323235</v>
      </c>
      <c r="C14" s="1">
        <f t="shared" si="4"/>
        <v>620.23329987717182</v>
      </c>
      <c r="D14" s="1">
        <f t="shared" si="1"/>
        <v>1845</v>
      </c>
      <c r="E14" s="1">
        <f t="shared" si="2"/>
        <v>1224.7667001228283</v>
      </c>
      <c r="F14" s="1">
        <f t="shared" si="3"/>
        <v>37539.814542200409</v>
      </c>
    </row>
    <row r="15" spans="1:7" x14ac:dyDescent="0.35">
      <c r="A15">
        <v>12</v>
      </c>
      <c r="B15" s="1">
        <f t="shared" si="0"/>
        <v>37539.814542200409</v>
      </c>
      <c r="C15" s="1">
        <f t="shared" si="4"/>
        <v>600.63703267520657</v>
      </c>
      <c r="D15" s="1">
        <f t="shared" si="1"/>
        <v>1845</v>
      </c>
      <c r="E15" s="1">
        <f t="shared" si="2"/>
        <v>1244.3629673247933</v>
      </c>
      <c r="F15" s="1">
        <f t="shared" si="3"/>
        <v>36295.451574875617</v>
      </c>
    </row>
    <row r="16" spans="1:7" x14ac:dyDescent="0.35">
      <c r="A16">
        <v>13</v>
      </c>
      <c r="B16" s="1">
        <f t="shared" si="0"/>
        <v>36295.451574875617</v>
      </c>
      <c r="C16" s="1">
        <f t="shared" si="4"/>
        <v>580.72722519800993</v>
      </c>
      <c r="D16" s="1">
        <f t="shared" si="1"/>
        <v>1845</v>
      </c>
      <c r="E16" s="1">
        <f t="shared" si="2"/>
        <v>1264.2727748019902</v>
      </c>
      <c r="F16" s="1">
        <f t="shared" si="3"/>
        <v>35031.178800073627</v>
      </c>
    </row>
    <row r="17" spans="1:6" x14ac:dyDescent="0.35">
      <c r="A17">
        <v>14</v>
      </c>
      <c r="B17" s="1">
        <f t="shared" si="0"/>
        <v>35031.178800073627</v>
      </c>
      <c r="C17" s="1">
        <f t="shared" si="4"/>
        <v>560.49886080117813</v>
      </c>
      <c r="D17" s="1">
        <f t="shared" si="1"/>
        <v>1845</v>
      </c>
      <c r="E17" s="1">
        <f t="shared" si="2"/>
        <v>1284.5011391988219</v>
      </c>
      <c r="F17" s="1">
        <f t="shared" si="3"/>
        <v>33746.677660874804</v>
      </c>
    </row>
    <row r="18" spans="1:6" x14ac:dyDescent="0.35">
      <c r="A18">
        <v>15</v>
      </c>
      <c r="B18" s="1">
        <f t="shared" si="0"/>
        <v>33746.677660874804</v>
      </c>
      <c r="C18" s="1">
        <f t="shared" si="4"/>
        <v>539.94684257399695</v>
      </c>
      <c r="D18" s="1">
        <f t="shared" si="1"/>
        <v>1845</v>
      </c>
      <c r="E18" s="1">
        <f t="shared" si="2"/>
        <v>1305.0531574260031</v>
      </c>
      <c r="F18" s="1">
        <f t="shared" si="3"/>
        <v>32441.624503448802</v>
      </c>
    </row>
    <row r="19" spans="1:6" x14ac:dyDescent="0.35">
      <c r="A19">
        <v>16</v>
      </c>
      <c r="B19" s="1">
        <f t="shared" si="0"/>
        <v>32441.624503448802</v>
      </c>
      <c r="C19" s="1">
        <f t="shared" si="4"/>
        <v>519.0659920551808</v>
      </c>
      <c r="D19" s="1">
        <f t="shared" si="1"/>
        <v>1845</v>
      </c>
      <c r="E19" s="1">
        <f t="shared" si="2"/>
        <v>1325.9340079448193</v>
      </c>
      <c r="F19" s="1">
        <f t="shared" si="3"/>
        <v>31115.690495503983</v>
      </c>
    </row>
    <row r="20" spans="1:6" x14ac:dyDescent="0.35">
      <c r="A20">
        <v>17</v>
      </c>
      <c r="B20" s="1">
        <f t="shared" si="0"/>
        <v>31115.690495503983</v>
      </c>
      <c r="C20" s="1">
        <f t="shared" si="4"/>
        <v>497.85104792806379</v>
      </c>
      <c r="D20" s="1">
        <f t="shared" si="1"/>
        <v>1845</v>
      </c>
      <c r="E20" s="1">
        <f t="shared" si="2"/>
        <v>1347.1489520719363</v>
      </c>
      <c r="F20" s="1">
        <f t="shared" si="3"/>
        <v>29768.541543432046</v>
      </c>
    </row>
    <row r="21" spans="1:6" x14ac:dyDescent="0.35">
      <c r="A21">
        <v>18</v>
      </c>
      <c r="B21" s="1">
        <f t="shared" si="0"/>
        <v>29768.541543432046</v>
      </c>
      <c r="C21" s="1">
        <f t="shared" si="4"/>
        <v>476.29666469491275</v>
      </c>
      <c r="D21" s="1">
        <f t="shared" si="1"/>
        <v>1845</v>
      </c>
      <c r="E21" s="1">
        <f t="shared" si="2"/>
        <v>1368.7033353050872</v>
      </c>
      <c r="F21" s="1">
        <f t="shared" si="3"/>
        <v>28399.838208126959</v>
      </c>
    </row>
    <row r="22" spans="1:6" x14ac:dyDescent="0.35">
      <c r="A22">
        <v>19</v>
      </c>
      <c r="B22" s="1">
        <f t="shared" si="0"/>
        <v>28399.838208126959</v>
      </c>
      <c r="C22" s="1">
        <f t="shared" si="4"/>
        <v>454.39741133003139</v>
      </c>
      <c r="D22" s="1">
        <f t="shared" si="1"/>
        <v>1845</v>
      </c>
      <c r="E22" s="1">
        <f t="shared" si="2"/>
        <v>1390.6025886699686</v>
      </c>
      <c r="F22" s="1">
        <f t="shared" si="3"/>
        <v>27009.235619456991</v>
      </c>
    </row>
    <row r="23" spans="1:6" x14ac:dyDescent="0.35">
      <c r="A23">
        <v>20</v>
      </c>
      <c r="B23" s="1">
        <f t="shared" si="0"/>
        <v>27009.235619456991</v>
      </c>
      <c r="C23" s="1">
        <f t="shared" si="4"/>
        <v>432.14776991131191</v>
      </c>
      <c r="D23" s="1">
        <f t="shared" si="1"/>
        <v>1845</v>
      </c>
      <c r="E23" s="1">
        <f t="shared" si="2"/>
        <v>1412.852230088688</v>
      </c>
      <c r="F23" s="1">
        <f t="shared" si="3"/>
        <v>25596.383389368304</v>
      </c>
    </row>
    <row r="24" spans="1:6" x14ac:dyDescent="0.35">
      <c r="A24">
        <v>21</v>
      </c>
      <c r="B24" s="1">
        <f t="shared" si="0"/>
        <v>25596.383389368304</v>
      </c>
      <c r="C24" s="1">
        <f t="shared" si="4"/>
        <v>409.54213422989289</v>
      </c>
      <c r="D24" s="1">
        <f t="shared" si="1"/>
        <v>1845</v>
      </c>
      <c r="E24" s="1">
        <f t="shared" si="2"/>
        <v>1435.4578657701072</v>
      </c>
      <c r="F24" s="1">
        <f t="shared" si="3"/>
        <v>24160.925523598198</v>
      </c>
    </row>
    <row r="25" spans="1:6" x14ac:dyDescent="0.35">
      <c r="A25">
        <v>22</v>
      </c>
      <c r="B25" s="1">
        <f t="shared" si="0"/>
        <v>24160.925523598198</v>
      </c>
      <c r="C25" s="1">
        <f t="shared" si="4"/>
        <v>386.57480837757117</v>
      </c>
      <c r="D25" s="1">
        <f t="shared" si="1"/>
        <v>1845</v>
      </c>
      <c r="E25" s="1">
        <f t="shared" si="2"/>
        <v>1458.4251916224289</v>
      </c>
      <c r="F25" s="1">
        <f t="shared" si="3"/>
        <v>22702.500331975771</v>
      </c>
    </row>
    <row r="26" spans="1:6" x14ac:dyDescent="0.35">
      <c r="A26">
        <v>23</v>
      </c>
      <c r="B26" s="1">
        <f t="shared" si="0"/>
        <v>22702.500331975771</v>
      </c>
      <c r="C26" s="1">
        <f t="shared" si="4"/>
        <v>363.24000531161232</v>
      </c>
      <c r="D26" s="1">
        <f t="shared" si="1"/>
        <v>1845</v>
      </c>
      <c r="E26" s="1">
        <f t="shared" si="2"/>
        <v>1481.7599946883877</v>
      </c>
      <c r="F26" s="1">
        <f t="shared" si="3"/>
        <v>21220.740337287381</v>
      </c>
    </row>
    <row r="27" spans="1:6" x14ac:dyDescent="0.35">
      <c r="A27">
        <v>24</v>
      </c>
      <c r="B27" s="1">
        <f t="shared" si="0"/>
        <v>21220.740337287381</v>
      </c>
      <c r="C27" s="1">
        <f t="shared" si="4"/>
        <v>339.53184539659816</v>
      </c>
      <c r="D27" s="1">
        <f t="shared" si="1"/>
        <v>1845</v>
      </c>
      <c r="E27" s="1">
        <f t="shared" si="2"/>
        <v>1505.4681546034019</v>
      </c>
      <c r="F27" s="1">
        <f t="shared" si="3"/>
        <v>19715.272182683981</v>
      </c>
    </row>
    <row r="28" spans="1:6" x14ac:dyDescent="0.35">
      <c r="A28">
        <v>25</v>
      </c>
      <c r="B28" s="1">
        <f t="shared" si="0"/>
        <v>19715.272182683981</v>
      </c>
      <c r="C28" s="1">
        <f t="shared" si="4"/>
        <v>315.44435492294372</v>
      </c>
      <c r="D28" s="1">
        <f t="shared" si="1"/>
        <v>1845</v>
      </c>
      <c r="E28" s="1">
        <f t="shared" si="2"/>
        <v>1529.5556450770564</v>
      </c>
      <c r="F28" s="1">
        <f t="shared" si="3"/>
        <v>18185.716537606924</v>
      </c>
    </row>
    <row r="29" spans="1:6" x14ac:dyDescent="0.35">
      <c r="A29">
        <v>26</v>
      </c>
      <c r="B29" s="1">
        <f t="shared" si="0"/>
        <v>18185.716537606924</v>
      </c>
      <c r="C29" s="1">
        <f t="shared" si="4"/>
        <v>290.97146460171081</v>
      </c>
      <c r="D29" s="1">
        <f t="shared" si="1"/>
        <v>1845</v>
      </c>
      <c r="E29" s="1">
        <f t="shared" si="2"/>
        <v>1554.0285353982893</v>
      </c>
      <c r="F29" s="1">
        <f t="shared" si="3"/>
        <v>16631.688002208633</v>
      </c>
    </row>
    <row r="30" spans="1:6" x14ac:dyDescent="0.35">
      <c r="A30">
        <v>27</v>
      </c>
      <c r="B30" s="1">
        <f t="shared" si="0"/>
        <v>16631.688002208633</v>
      </c>
      <c r="C30" s="1">
        <f t="shared" si="4"/>
        <v>266.10700803533814</v>
      </c>
      <c r="D30" s="1">
        <f t="shared" si="1"/>
        <v>1845</v>
      </c>
      <c r="E30" s="1">
        <f t="shared" si="2"/>
        <v>1578.8929919646619</v>
      </c>
      <c r="F30" s="1">
        <f t="shared" si="3"/>
        <v>15052.795010243972</v>
      </c>
    </row>
    <row r="31" spans="1:6" x14ac:dyDescent="0.35">
      <c r="A31">
        <v>28</v>
      </c>
      <c r="B31" s="1">
        <f t="shared" si="0"/>
        <v>15052.795010243972</v>
      </c>
      <c r="C31" s="1">
        <f t="shared" si="4"/>
        <v>240.84472016390356</v>
      </c>
      <c r="D31" s="1">
        <f t="shared" si="1"/>
        <v>1845</v>
      </c>
      <c r="E31" s="1">
        <f t="shared" si="2"/>
        <v>1604.1552798360965</v>
      </c>
      <c r="F31" s="1">
        <f t="shared" si="3"/>
        <v>13448.639730407875</v>
      </c>
    </row>
    <row r="32" spans="1:6" x14ac:dyDescent="0.35">
      <c r="A32">
        <v>29</v>
      </c>
      <c r="B32" s="1">
        <f t="shared" si="0"/>
        <v>13448.639730407875</v>
      </c>
      <c r="C32" s="1">
        <f t="shared" si="4"/>
        <v>215.17823568652602</v>
      </c>
      <c r="D32" s="1">
        <f t="shared" si="1"/>
        <v>1845</v>
      </c>
      <c r="E32" s="1">
        <f t="shared" si="2"/>
        <v>1629.821764313474</v>
      </c>
      <c r="F32" s="1">
        <f t="shared" si="3"/>
        <v>11818.817966094401</v>
      </c>
    </row>
    <row r="33" spans="1:6" x14ac:dyDescent="0.35">
      <c r="A33">
        <v>30</v>
      </c>
      <c r="B33" s="1">
        <f t="shared" si="0"/>
        <v>11818.817966094401</v>
      </c>
      <c r="C33" s="1">
        <f t="shared" si="4"/>
        <v>189.1010874575104</v>
      </c>
      <c r="D33" s="1">
        <f t="shared" si="1"/>
        <v>1845</v>
      </c>
      <c r="E33" s="1">
        <f t="shared" si="2"/>
        <v>1655.8989125424896</v>
      </c>
      <c r="F33" s="1">
        <f t="shared" si="3"/>
        <v>10162.919053551912</v>
      </c>
    </row>
    <row r="34" spans="1:6" x14ac:dyDescent="0.35">
      <c r="A34">
        <v>31</v>
      </c>
      <c r="B34" s="1">
        <f t="shared" si="0"/>
        <v>10162.919053551912</v>
      </c>
      <c r="C34" s="1">
        <f t="shared" si="4"/>
        <v>162.60670485683059</v>
      </c>
      <c r="D34" s="1">
        <f t="shared" si="1"/>
        <v>1845</v>
      </c>
      <c r="E34" s="1">
        <f t="shared" si="2"/>
        <v>1682.3932951431693</v>
      </c>
      <c r="F34" s="1">
        <f t="shared" si="3"/>
        <v>8480.5257584087431</v>
      </c>
    </row>
    <row r="35" spans="1:6" x14ac:dyDescent="0.35">
      <c r="A35">
        <v>32</v>
      </c>
      <c r="B35" s="1">
        <f t="shared" si="0"/>
        <v>8480.5257584087431</v>
      </c>
      <c r="C35" s="1">
        <f t="shared" si="4"/>
        <v>135.6884121345399</v>
      </c>
      <c r="D35" s="1">
        <f t="shared" si="1"/>
        <v>1845</v>
      </c>
      <c r="E35" s="1">
        <f t="shared" si="2"/>
        <v>1709.3115878654601</v>
      </c>
      <c r="F35" s="1">
        <f t="shared" si="3"/>
        <v>6771.2141705432832</v>
      </c>
    </row>
    <row r="36" spans="1:6" x14ac:dyDescent="0.35">
      <c r="A36">
        <v>33</v>
      </c>
      <c r="B36" s="1">
        <f t="shared" si="0"/>
        <v>6771.2141705432832</v>
      </c>
      <c r="C36" s="1">
        <f t="shared" si="4"/>
        <v>108.33942672869254</v>
      </c>
      <c r="D36" s="1">
        <f t="shared" si="1"/>
        <v>1845</v>
      </c>
      <c r="E36" s="1">
        <f t="shared" si="2"/>
        <v>1736.6605732713074</v>
      </c>
      <c r="F36" s="1">
        <f t="shared" si="3"/>
        <v>5034.5535972719754</v>
      </c>
    </row>
    <row r="37" spans="1:6" x14ac:dyDescent="0.35">
      <c r="A37">
        <v>34</v>
      </c>
      <c r="B37" s="1">
        <f t="shared" si="0"/>
        <v>5034.5535972719754</v>
      </c>
      <c r="C37" s="1">
        <f t="shared" si="4"/>
        <v>80.552857556351611</v>
      </c>
      <c r="D37" s="1">
        <f t="shared" si="1"/>
        <v>1845</v>
      </c>
      <c r="E37" s="1">
        <f t="shared" si="2"/>
        <v>1764.4471424436483</v>
      </c>
      <c r="F37" s="1">
        <f t="shared" si="3"/>
        <v>3270.1064548283271</v>
      </c>
    </row>
    <row r="38" spans="1:6" x14ac:dyDescent="0.35">
      <c r="A38">
        <v>35</v>
      </c>
      <c r="B38" s="1">
        <f t="shared" si="0"/>
        <v>3270.1064548283271</v>
      </c>
      <c r="C38" s="1">
        <f t="shared" si="4"/>
        <v>52.321703277253235</v>
      </c>
      <c r="D38" s="1">
        <f t="shared" si="1"/>
        <v>1845</v>
      </c>
      <c r="E38" s="1">
        <f t="shared" si="2"/>
        <v>1792.6782967227468</v>
      </c>
      <c r="F38" s="1">
        <f t="shared" si="3"/>
        <v>1477.4281581055802</v>
      </c>
    </row>
    <row r="39" spans="1:6" x14ac:dyDescent="0.35">
      <c r="A39">
        <v>36</v>
      </c>
      <c r="B39" s="1">
        <f t="shared" si="0"/>
        <v>1477.4281581055802</v>
      </c>
      <c r="C39" s="1">
        <f t="shared" si="4"/>
        <v>23.638850529689286</v>
      </c>
      <c r="D39" s="1">
        <f t="shared" si="1"/>
        <v>1845</v>
      </c>
      <c r="E39" s="1">
        <f t="shared" si="2"/>
        <v>1821.3611494703107</v>
      </c>
      <c r="F39" s="1">
        <f t="shared" si="3"/>
        <v>-343.93299136473047</v>
      </c>
    </row>
    <row r="40" spans="1:6" x14ac:dyDescent="0.35">
      <c r="D4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850DA-9A78-4EA4-BCEF-2A5CFE836837}">
  <dimension ref="A1:G30"/>
  <sheetViews>
    <sheetView topLeftCell="A9" workbookViewId="0">
      <selection activeCell="H15" sqref="H15"/>
    </sheetView>
  </sheetViews>
  <sheetFormatPr defaultRowHeight="14.5" x14ac:dyDescent="0.35"/>
  <cols>
    <col min="2" max="2" width="12" customWidth="1"/>
    <col min="3" max="3" width="12.36328125" customWidth="1"/>
    <col min="4" max="4" width="12.453125" customWidth="1"/>
    <col min="5" max="5" width="13" customWidth="1"/>
    <col min="6" max="6" width="14.6328125" customWidth="1"/>
  </cols>
  <sheetData>
    <row r="1" spans="1:7" x14ac:dyDescent="0.35">
      <c r="B1" t="s">
        <v>8</v>
      </c>
      <c r="C1">
        <v>2.2000000000000002</v>
      </c>
      <c r="D1" t="s">
        <v>0</v>
      </c>
      <c r="E1">
        <v>70000</v>
      </c>
      <c r="F1" t="s">
        <v>11</v>
      </c>
      <c r="G1">
        <v>3795</v>
      </c>
    </row>
    <row r="3" spans="1:7" x14ac:dyDescent="0.35">
      <c r="A3" t="s">
        <v>9</v>
      </c>
      <c r="B3" t="s">
        <v>0</v>
      </c>
      <c r="C3" t="s">
        <v>10</v>
      </c>
      <c r="D3" t="s">
        <v>6</v>
      </c>
      <c r="E3" t="s">
        <v>7</v>
      </c>
      <c r="F3" t="s">
        <v>5</v>
      </c>
    </row>
    <row r="4" spans="1:7" x14ac:dyDescent="0.35">
      <c r="A4">
        <v>1</v>
      </c>
      <c r="B4" s="1">
        <v>70000</v>
      </c>
      <c r="C4" s="1">
        <f>B4*$C$1/100</f>
        <v>1540</v>
      </c>
      <c r="D4" s="1">
        <f>$G$1</f>
        <v>3795</v>
      </c>
      <c r="E4" s="1">
        <f>D4-C4</f>
        <v>2255</v>
      </c>
      <c r="F4" s="1">
        <f>B4-E4</f>
        <v>67745</v>
      </c>
    </row>
    <row r="5" spans="1:7" x14ac:dyDescent="0.35">
      <c r="A5">
        <v>2</v>
      </c>
      <c r="B5" s="1">
        <f>F4</f>
        <v>67745</v>
      </c>
      <c r="C5" s="1">
        <f>B5*$C$1/100</f>
        <v>1490.39</v>
      </c>
      <c r="D5" s="1">
        <f>$G$1</f>
        <v>3795</v>
      </c>
      <c r="E5" s="1">
        <f>D5-C5</f>
        <v>2304.6099999999997</v>
      </c>
      <c r="F5" s="1">
        <f>B5-E5</f>
        <v>65440.39</v>
      </c>
    </row>
    <row r="6" spans="1:7" x14ac:dyDescent="0.35">
      <c r="A6">
        <v>3</v>
      </c>
      <c r="B6">
        <f t="shared" ref="B6:B27" si="0">F5</f>
        <v>65440.39</v>
      </c>
      <c r="C6" s="1">
        <f t="shared" ref="C6:C27" si="1">B6*$C$1/100</f>
        <v>1439.68858</v>
      </c>
      <c r="D6" s="1">
        <f t="shared" ref="D6:D27" si="2">$G$1</f>
        <v>3795</v>
      </c>
      <c r="E6" s="1">
        <f t="shared" ref="E6:E27" si="3">D6-C6</f>
        <v>2355.31142</v>
      </c>
      <c r="F6" s="1">
        <f t="shared" ref="F6:F27" si="4">B6-E6</f>
        <v>63085.078580000001</v>
      </c>
    </row>
    <row r="7" spans="1:7" x14ac:dyDescent="0.35">
      <c r="A7">
        <v>4</v>
      </c>
      <c r="B7">
        <f t="shared" si="0"/>
        <v>63085.078580000001</v>
      </c>
      <c r="C7" s="1">
        <f t="shared" si="1"/>
        <v>1387.8717287600002</v>
      </c>
      <c r="D7" s="1">
        <f t="shared" si="2"/>
        <v>3795</v>
      </c>
      <c r="E7" s="1">
        <f t="shared" si="3"/>
        <v>2407.1282712399998</v>
      </c>
      <c r="F7" s="1">
        <f t="shared" si="4"/>
        <v>60677.950308760002</v>
      </c>
    </row>
    <row r="8" spans="1:7" x14ac:dyDescent="0.35">
      <c r="A8">
        <v>5</v>
      </c>
      <c r="B8">
        <f t="shared" si="0"/>
        <v>60677.950308760002</v>
      </c>
      <c r="C8" s="1">
        <f t="shared" si="1"/>
        <v>1334.9149067927201</v>
      </c>
      <c r="D8" s="1">
        <f t="shared" si="2"/>
        <v>3795</v>
      </c>
      <c r="E8" s="1">
        <f t="shared" si="3"/>
        <v>2460.0850932072799</v>
      </c>
      <c r="F8" s="1">
        <f t="shared" si="4"/>
        <v>58217.865215552723</v>
      </c>
    </row>
    <row r="9" spans="1:7" x14ac:dyDescent="0.35">
      <c r="A9">
        <v>6</v>
      </c>
      <c r="B9">
        <f t="shared" si="0"/>
        <v>58217.865215552723</v>
      </c>
      <c r="C9" s="1">
        <f t="shared" si="1"/>
        <v>1280.79303474216</v>
      </c>
      <c r="D9" s="1">
        <f t="shared" si="2"/>
        <v>3795</v>
      </c>
      <c r="E9" s="1">
        <f t="shared" si="3"/>
        <v>2514.2069652578402</v>
      </c>
      <c r="F9" s="1">
        <f t="shared" si="4"/>
        <v>55703.65825029488</v>
      </c>
    </row>
    <row r="10" spans="1:7" x14ac:dyDescent="0.35">
      <c r="A10">
        <v>7</v>
      </c>
      <c r="B10">
        <f t="shared" si="0"/>
        <v>55703.65825029488</v>
      </c>
      <c r="C10" s="1">
        <f t="shared" si="1"/>
        <v>1225.4804815064874</v>
      </c>
      <c r="D10" s="1">
        <f t="shared" si="2"/>
        <v>3795</v>
      </c>
      <c r="E10" s="1">
        <f t="shared" si="3"/>
        <v>2569.5195184935128</v>
      </c>
      <c r="F10" s="1">
        <f t="shared" si="4"/>
        <v>53134.138731801366</v>
      </c>
    </row>
    <row r="11" spans="1:7" x14ac:dyDescent="0.35">
      <c r="A11">
        <v>8</v>
      </c>
      <c r="B11">
        <f t="shared" si="0"/>
        <v>53134.138731801366</v>
      </c>
      <c r="C11" s="1">
        <f t="shared" si="1"/>
        <v>1168.9510520996303</v>
      </c>
      <c r="D11" s="1">
        <f t="shared" si="2"/>
        <v>3795</v>
      </c>
      <c r="E11" s="1">
        <f t="shared" si="3"/>
        <v>2626.04894790037</v>
      </c>
      <c r="F11" s="1">
        <f t="shared" si="4"/>
        <v>50508.089783900999</v>
      </c>
    </row>
    <row r="12" spans="1:7" x14ac:dyDescent="0.35">
      <c r="A12">
        <v>9</v>
      </c>
      <c r="B12">
        <f t="shared" si="0"/>
        <v>50508.089783900999</v>
      </c>
      <c r="C12" s="1">
        <f t="shared" si="1"/>
        <v>1111.1779752458219</v>
      </c>
      <c r="D12" s="1">
        <f t="shared" si="2"/>
        <v>3795</v>
      </c>
      <c r="E12" s="1">
        <f t="shared" si="3"/>
        <v>2683.8220247541781</v>
      </c>
      <c r="F12" s="1">
        <f t="shared" si="4"/>
        <v>47824.267759146824</v>
      </c>
    </row>
    <row r="13" spans="1:7" x14ac:dyDescent="0.35">
      <c r="A13">
        <v>10</v>
      </c>
      <c r="B13">
        <f t="shared" si="0"/>
        <v>47824.267759146824</v>
      </c>
      <c r="C13" s="1">
        <f t="shared" si="1"/>
        <v>1052.1338907012303</v>
      </c>
      <c r="D13" s="1">
        <f t="shared" si="2"/>
        <v>3795</v>
      </c>
      <c r="E13" s="1">
        <f t="shared" si="3"/>
        <v>2742.8661092987695</v>
      </c>
      <c r="F13" s="1">
        <f t="shared" si="4"/>
        <v>45081.401649848056</v>
      </c>
    </row>
    <row r="14" spans="1:7" x14ac:dyDescent="0.35">
      <c r="A14">
        <v>11</v>
      </c>
      <c r="B14">
        <f t="shared" si="0"/>
        <v>45081.401649848056</v>
      </c>
      <c r="C14" s="1">
        <f t="shared" si="1"/>
        <v>991.7908362966574</v>
      </c>
      <c r="D14" s="1">
        <f t="shared" si="2"/>
        <v>3795</v>
      </c>
      <c r="E14" s="1">
        <f t="shared" si="3"/>
        <v>2803.2091637033427</v>
      </c>
      <c r="F14" s="1">
        <f t="shared" si="4"/>
        <v>42278.192486144711</v>
      </c>
    </row>
    <row r="15" spans="1:7" x14ac:dyDescent="0.35">
      <c r="A15">
        <v>12</v>
      </c>
      <c r="B15">
        <f t="shared" si="0"/>
        <v>42278.192486144711</v>
      </c>
      <c r="C15" s="1">
        <f t="shared" si="1"/>
        <v>930.12023469518374</v>
      </c>
      <c r="D15" s="1">
        <f t="shared" si="2"/>
        <v>3795</v>
      </c>
      <c r="E15" s="1">
        <f t="shared" si="3"/>
        <v>2864.8797653048164</v>
      </c>
      <c r="F15" s="1">
        <f t="shared" si="4"/>
        <v>39413.312720839895</v>
      </c>
    </row>
    <row r="16" spans="1:7" x14ac:dyDescent="0.35">
      <c r="A16">
        <v>13</v>
      </c>
      <c r="B16">
        <f t="shared" si="0"/>
        <v>39413.312720839895</v>
      </c>
      <c r="C16" s="1">
        <f t="shared" si="1"/>
        <v>867.09287985847766</v>
      </c>
      <c r="D16" s="1">
        <f t="shared" si="2"/>
        <v>3795</v>
      </c>
      <c r="E16" s="1">
        <f t="shared" si="3"/>
        <v>2927.9071201415222</v>
      </c>
      <c r="F16" s="1">
        <f t="shared" si="4"/>
        <v>36485.405600698374</v>
      </c>
    </row>
    <row r="17" spans="1:6" x14ac:dyDescent="0.35">
      <c r="A17">
        <v>14</v>
      </c>
      <c r="B17">
        <f t="shared" si="0"/>
        <v>36485.405600698374</v>
      </c>
      <c r="C17" s="1">
        <f t="shared" si="1"/>
        <v>802.67892321536431</v>
      </c>
      <c r="D17" s="1">
        <f t="shared" si="2"/>
        <v>3795</v>
      </c>
      <c r="E17" s="1">
        <f t="shared" si="3"/>
        <v>2992.3210767846358</v>
      </c>
      <c r="F17" s="1">
        <f t="shared" si="4"/>
        <v>33493.084523913742</v>
      </c>
    </row>
    <row r="18" spans="1:6" x14ac:dyDescent="0.35">
      <c r="A18">
        <v>15</v>
      </c>
      <c r="B18">
        <f t="shared" si="0"/>
        <v>33493.084523913742</v>
      </c>
      <c r="C18" s="1">
        <f t="shared" si="1"/>
        <v>736.84785952610241</v>
      </c>
      <c r="D18" s="1">
        <f t="shared" si="2"/>
        <v>3795</v>
      </c>
      <c r="E18" s="1">
        <f t="shared" si="3"/>
        <v>3058.1521404738978</v>
      </c>
      <c r="F18" s="1">
        <f t="shared" si="4"/>
        <v>30434.932383439846</v>
      </c>
    </row>
    <row r="19" spans="1:6" x14ac:dyDescent="0.35">
      <c r="A19">
        <v>16</v>
      </c>
      <c r="B19">
        <f t="shared" si="0"/>
        <v>30434.932383439846</v>
      </c>
      <c r="C19" s="1">
        <f t="shared" si="1"/>
        <v>669.56851243567667</v>
      </c>
      <c r="D19" s="1">
        <f t="shared" si="2"/>
        <v>3795</v>
      </c>
      <c r="E19" s="1">
        <f t="shared" si="3"/>
        <v>3125.4314875643231</v>
      </c>
      <c r="F19" s="1">
        <f t="shared" si="4"/>
        <v>27309.500895875521</v>
      </c>
    </row>
    <row r="20" spans="1:6" x14ac:dyDescent="0.35">
      <c r="A20">
        <v>17</v>
      </c>
      <c r="B20">
        <f t="shared" si="0"/>
        <v>27309.500895875521</v>
      </c>
      <c r="C20" s="1">
        <f t="shared" si="1"/>
        <v>600.80901970926152</v>
      </c>
      <c r="D20" s="1">
        <f t="shared" si="2"/>
        <v>3795</v>
      </c>
      <c r="E20" s="1">
        <f t="shared" si="3"/>
        <v>3194.1909802907385</v>
      </c>
      <c r="F20" s="1">
        <f t="shared" si="4"/>
        <v>24115.309915584781</v>
      </c>
    </row>
    <row r="21" spans="1:6" x14ac:dyDescent="0.35">
      <c r="A21">
        <v>18</v>
      </c>
      <c r="B21">
        <f t="shared" si="0"/>
        <v>24115.309915584781</v>
      </c>
      <c r="C21" s="1">
        <f t="shared" si="1"/>
        <v>530.53681814286529</v>
      </c>
      <c r="D21" s="1">
        <f t="shared" si="2"/>
        <v>3795</v>
      </c>
      <c r="E21" s="1">
        <f t="shared" si="3"/>
        <v>3264.4631818571347</v>
      </c>
      <c r="F21" s="1">
        <f t="shared" si="4"/>
        <v>20850.846733727645</v>
      </c>
    </row>
    <row r="22" spans="1:6" x14ac:dyDescent="0.35">
      <c r="A22">
        <v>19</v>
      </c>
      <c r="B22">
        <f t="shared" si="0"/>
        <v>20850.846733727645</v>
      </c>
      <c r="C22" s="1">
        <f>B22*$C$1/100</f>
        <v>458.71862814200824</v>
      </c>
      <c r="D22" s="1">
        <f t="shared" si="2"/>
        <v>3795</v>
      </c>
      <c r="E22" s="1">
        <f t="shared" si="3"/>
        <v>3336.2813718579919</v>
      </c>
      <c r="F22" s="1">
        <f t="shared" si="4"/>
        <v>17514.565361869652</v>
      </c>
    </row>
    <row r="23" spans="1:6" x14ac:dyDescent="0.35">
      <c r="A23">
        <v>20</v>
      </c>
      <c r="B23">
        <f t="shared" si="0"/>
        <v>17514.565361869652</v>
      </c>
      <c r="C23" s="1">
        <f t="shared" si="1"/>
        <v>385.32043796113243</v>
      </c>
      <c r="D23" s="1">
        <f t="shared" si="2"/>
        <v>3795</v>
      </c>
      <c r="E23" s="1">
        <f t="shared" si="3"/>
        <v>3409.6795620388675</v>
      </c>
      <c r="F23" s="1">
        <f t="shared" si="4"/>
        <v>14104.885799830785</v>
      </c>
    </row>
    <row r="24" spans="1:6" x14ac:dyDescent="0.35">
      <c r="A24">
        <v>21</v>
      </c>
      <c r="B24">
        <f t="shared" si="0"/>
        <v>14104.885799830785</v>
      </c>
      <c r="C24" s="1">
        <f t="shared" si="1"/>
        <v>310.30748759627727</v>
      </c>
      <c r="D24" s="1">
        <f t="shared" si="2"/>
        <v>3795</v>
      </c>
      <c r="E24" s="1">
        <f t="shared" si="3"/>
        <v>3484.6925124037225</v>
      </c>
      <c r="F24" s="1">
        <f t="shared" si="4"/>
        <v>10620.193287427062</v>
      </c>
    </row>
    <row r="25" spans="1:6" x14ac:dyDescent="0.35">
      <c r="A25">
        <v>22</v>
      </c>
      <c r="B25">
        <f t="shared" si="0"/>
        <v>10620.193287427062</v>
      </c>
      <c r="C25" s="1">
        <f t="shared" si="1"/>
        <v>233.64425232339536</v>
      </c>
      <c r="D25" s="1">
        <f t="shared" si="2"/>
        <v>3795</v>
      </c>
      <c r="E25" s="1">
        <f t="shared" si="3"/>
        <v>3561.3557476766046</v>
      </c>
      <c r="F25" s="1">
        <f t="shared" si="4"/>
        <v>7058.8375397504578</v>
      </c>
    </row>
    <row r="26" spans="1:6" x14ac:dyDescent="0.35">
      <c r="A26">
        <v>23</v>
      </c>
      <c r="B26">
        <f t="shared" si="0"/>
        <v>7058.8375397504578</v>
      </c>
      <c r="C26" s="1">
        <f t="shared" si="1"/>
        <v>155.2944258745101</v>
      </c>
      <c r="D26" s="1">
        <f t="shared" si="2"/>
        <v>3795</v>
      </c>
      <c r="E26" s="1">
        <f t="shared" si="3"/>
        <v>3639.7055741254899</v>
      </c>
      <c r="F26" s="1">
        <f t="shared" si="4"/>
        <v>3419.131965624968</v>
      </c>
    </row>
    <row r="27" spans="1:6" x14ac:dyDescent="0.35">
      <c r="A27">
        <v>24</v>
      </c>
      <c r="B27">
        <f t="shared" si="0"/>
        <v>3419.131965624968</v>
      </c>
      <c r="C27" s="1">
        <f t="shared" si="1"/>
        <v>75.220903243749305</v>
      </c>
      <c r="D27" s="1">
        <f t="shared" si="2"/>
        <v>3795</v>
      </c>
      <c r="E27" s="1">
        <f t="shared" si="3"/>
        <v>3719.7790967562505</v>
      </c>
      <c r="F27" s="1">
        <f t="shared" si="4"/>
        <v>-300.64713113128255</v>
      </c>
    </row>
    <row r="28" spans="1:6" x14ac:dyDescent="0.35">
      <c r="A28">
        <v>25</v>
      </c>
      <c r="C28" s="1"/>
      <c r="D28" s="1"/>
      <c r="E28" s="1"/>
      <c r="F28" s="1"/>
    </row>
    <row r="29" spans="1:6" x14ac:dyDescent="0.35">
      <c r="D29" s="1"/>
    </row>
    <row r="30" spans="1:6" x14ac:dyDescent="0.35">
      <c r="D3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0B66D-82F5-4163-B112-1A3202CC504C}">
  <dimension ref="A1:J94"/>
  <sheetViews>
    <sheetView workbookViewId="0">
      <selection activeCell="G13" sqref="G13"/>
    </sheetView>
  </sheetViews>
  <sheetFormatPr defaultRowHeight="14.5" x14ac:dyDescent="0.35"/>
  <cols>
    <col min="1" max="1" width="15.81640625" customWidth="1"/>
    <col min="2" max="2" width="7.7265625" bestFit="1" customWidth="1"/>
    <col min="3" max="3" width="10.453125" customWidth="1"/>
    <col min="4" max="4" width="10.6328125" customWidth="1"/>
    <col min="5" max="5" width="14.453125" customWidth="1"/>
    <col min="6" max="6" width="13.453125" customWidth="1"/>
    <col min="9" max="9" width="13" customWidth="1"/>
    <col min="10" max="10" width="8.7265625" customWidth="1"/>
  </cols>
  <sheetData>
    <row r="1" spans="1:10" x14ac:dyDescent="0.35">
      <c r="A1" t="s">
        <v>12</v>
      </c>
      <c r="B1">
        <v>1000</v>
      </c>
    </row>
    <row r="2" spans="1:10" x14ac:dyDescent="0.35">
      <c r="A2" t="s">
        <v>2</v>
      </c>
      <c r="B2">
        <v>0.75</v>
      </c>
    </row>
    <row r="3" spans="1:10" x14ac:dyDescent="0.35">
      <c r="A3" t="s">
        <v>13</v>
      </c>
      <c r="B3">
        <v>84</v>
      </c>
    </row>
    <row r="6" spans="1:10" x14ac:dyDescent="0.35">
      <c r="A6" t="s">
        <v>9</v>
      </c>
      <c r="B6" t="s">
        <v>14</v>
      </c>
      <c r="C6" t="s">
        <v>18</v>
      </c>
      <c r="D6" t="s">
        <v>15</v>
      </c>
      <c r="E6" t="s">
        <v>16</v>
      </c>
      <c r="F6" t="s">
        <v>17</v>
      </c>
    </row>
    <row r="7" spans="1:10" x14ac:dyDescent="0.35">
      <c r="A7">
        <v>1</v>
      </c>
      <c r="B7" s="1">
        <v>1000</v>
      </c>
      <c r="C7" s="1">
        <v>0</v>
      </c>
      <c r="D7" s="1">
        <f>B$2</f>
        <v>0.75</v>
      </c>
      <c r="E7" s="1">
        <f>B7*D7/100</f>
        <v>7.5</v>
      </c>
      <c r="F7" s="1">
        <f>B7+C7+E7</f>
        <v>1007.5</v>
      </c>
    </row>
    <row r="8" spans="1:10" x14ac:dyDescent="0.35">
      <c r="A8">
        <v>2</v>
      </c>
      <c r="B8" s="1">
        <v>1000</v>
      </c>
      <c r="C8" s="1">
        <f>F7</f>
        <v>1007.5</v>
      </c>
      <c r="D8" s="1">
        <f>B$2</f>
        <v>0.75</v>
      </c>
      <c r="E8" s="1">
        <f>C8*D8/100</f>
        <v>7.5562500000000004</v>
      </c>
      <c r="F8" s="1">
        <f>B8+C8+E8</f>
        <v>2015.0562500000001</v>
      </c>
      <c r="I8" t="s">
        <v>6</v>
      </c>
      <c r="J8">
        <v>75000</v>
      </c>
    </row>
    <row r="9" spans="1:10" x14ac:dyDescent="0.35">
      <c r="A9">
        <v>3</v>
      </c>
      <c r="B9" s="1">
        <v>1000</v>
      </c>
      <c r="C9" s="1">
        <f>F8</f>
        <v>2015.0562500000001</v>
      </c>
      <c r="D9" s="1">
        <f>B$2</f>
        <v>0.75</v>
      </c>
      <c r="E9" s="1">
        <f t="shared" ref="E9:E72" si="0">C9*D9/100</f>
        <v>15.112921875000001</v>
      </c>
      <c r="F9" s="1">
        <f>B9+C9+E9</f>
        <v>3030.1691718750003</v>
      </c>
      <c r="I9" t="s">
        <v>2</v>
      </c>
      <c r="J9" s="2">
        <v>9</v>
      </c>
    </row>
    <row r="10" spans="1:10" x14ac:dyDescent="0.35">
      <c r="A10">
        <v>4</v>
      </c>
      <c r="B10" s="1">
        <v>1000</v>
      </c>
      <c r="C10" s="1">
        <f>F9</f>
        <v>3030.1691718750003</v>
      </c>
      <c r="D10" s="1">
        <f>B$2</f>
        <v>0.75</v>
      </c>
      <c r="E10" s="1">
        <f t="shared" si="0"/>
        <v>22.726268789062502</v>
      </c>
      <c r="F10" s="1">
        <f t="shared" ref="F10:F73" si="1">B10+C10+E10</f>
        <v>4052.8954406640628</v>
      </c>
      <c r="I10" t="s">
        <v>19</v>
      </c>
      <c r="J10">
        <v>21</v>
      </c>
    </row>
    <row r="11" spans="1:10" x14ac:dyDescent="0.35">
      <c r="A11">
        <v>5</v>
      </c>
      <c r="B11" s="1">
        <v>1000</v>
      </c>
      <c r="C11" s="1">
        <f t="shared" ref="C11:C74" si="2">F10</f>
        <v>4052.8954406640628</v>
      </c>
      <c r="D11" s="1">
        <f t="shared" ref="D11:D74" si="3">B$2</f>
        <v>0.75</v>
      </c>
      <c r="E11" s="1">
        <f t="shared" si="0"/>
        <v>30.396715804980474</v>
      </c>
      <c r="F11" s="1">
        <f t="shared" si="1"/>
        <v>5083.2921564690432</v>
      </c>
    </row>
    <row r="12" spans="1:10" x14ac:dyDescent="0.35">
      <c r="A12">
        <v>6</v>
      </c>
      <c r="B12" s="1">
        <v>1000</v>
      </c>
      <c r="C12" s="1">
        <f t="shared" si="2"/>
        <v>5083.2921564690432</v>
      </c>
      <c r="D12" s="1">
        <f t="shared" si="3"/>
        <v>0.75</v>
      </c>
      <c r="E12" s="1">
        <f t="shared" si="0"/>
        <v>38.124691173517824</v>
      </c>
      <c r="F12" s="1">
        <f t="shared" si="1"/>
        <v>6121.4168476425612</v>
      </c>
      <c r="I12" t="s">
        <v>20</v>
      </c>
      <c r="J12" s="2">
        <f>(monpa*(1+(intr/100))^noys)</f>
        <v>458160.58026587591</v>
      </c>
    </row>
    <row r="13" spans="1:10" x14ac:dyDescent="0.35">
      <c r="A13">
        <v>7</v>
      </c>
      <c r="B13" s="1">
        <v>1000</v>
      </c>
      <c r="C13" s="1">
        <f t="shared" si="2"/>
        <v>6121.4168476425612</v>
      </c>
      <c r="D13" s="1">
        <f t="shared" si="3"/>
        <v>0.75</v>
      </c>
      <c r="E13" s="1">
        <f t="shared" si="0"/>
        <v>45.910626357319209</v>
      </c>
      <c r="F13" s="1">
        <f t="shared" si="1"/>
        <v>7167.3274739998806</v>
      </c>
    </row>
    <row r="14" spans="1:10" x14ac:dyDescent="0.35">
      <c r="A14">
        <v>8</v>
      </c>
      <c r="B14" s="1">
        <v>1000</v>
      </c>
      <c r="C14" s="1">
        <f t="shared" si="2"/>
        <v>7167.3274739998806</v>
      </c>
      <c r="D14" s="1">
        <f t="shared" si="3"/>
        <v>0.75</v>
      </c>
      <c r="E14" s="1">
        <f t="shared" si="0"/>
        <v>53.754956054999099</v>
      </c>
      <c r="F14" s="1">
        <f t="shared" si="1"/>
        <v>8221.0824300548793</v>
      </c>
      <c r="J14">
        <f>J12-J8</f>
        <v>383160.58026587591</v>
      </c>
    </row>
    <row r="15" spans="1:10" x14ac:dyDescent="0.35">
      <c r="A15">
        <v>9</v>
      </c>
      <c r="B15" s="1">
        <v>1000</v>
      </c>
      <c r="C15" s="1">
        <f t="shared" si="2"/>
        <v>8221.0824300548793</v>
      </c>
      <c r="D15" s="1">
        <f t="shared" si="3"/>
        <v>0.75</v>
      </c>
      <c r="E15" s="1">
        <f t="shared" si="0"/>
        <v>61.658118225411599</v>
      </c>
      <c r="F15" s="1">
        <f t="shared" si="1"/>
        <v>9282.7405482802915</v>
      </c>
    </row>
    <row r="16" spans="1:10" x14ac:dyDescent="0.35">
      <c r="A16">
        <v>10</v>
      </c>
      <c r="B16" s="1">
        <v>1000</v>
      </c>
      <c r="C16" s="1">
        <f t="shared" si="2"/>
        <v>9282.7405482802915</v>
      </c>
      <c r="D16" s="1">
        <f t="shared" si="3"/>
        <v>0.75</v>
      </c>
      <c r="E16" s="1">
        <f t="shared" si="0"/>
        <v>69.620554112102184</v>
      </c>
      <c r="F16" s="1">
        <f t="shared" si="1"/>
        <v>10352.361102392393</v>
      </c>
    </row>
    <row r="17" spans="1:6" x14ac:dyDescent="0.35">
      <c r="A17">
        <v>11</v>
      </c>
      <c r="B17" s="1">
        <v>1000</v>
      </c>
      <c r="C17" s="1">
        <f t="shared" si="2"/>
        <v>10352.361102392393</v>
      </c>
      <c r="D17" s="1">
        <f t="shared" si="3"/>
        <v>0.75</v>
      </c>
      <c r="E17" s="1">
        <f t="shared" si="0"/>
        <v>77.64270826794295</v>
      </c>
      <c r="F17" s="1">
        <f t="shared" si="1"/>
        <v>11430.003810660337</v>
      </c>
    </row>
    <row r="18" spans="1:6" x14ac:dyDescent="0.35">
      <c r="A18">
        <v>12</v>
      </c>
      <c r="B18" s="1">
        <v>1000</v>
      </c>
      <c r="C18" s="1">
        <f t="shared" si="2"/>
        <v>11430.003810660337</v>
      </c>
      <c r="D18" s="1">
        <f t="shared" si="3"/>
        <v>0.75</v>
      </c>
      <c r="E18" s="1">
        <f t="shared" si="0"/>
        <v>85.725028579952522</v>
      </c>
      <c r="F18" s="1">
        <f t="shared" si="1"/>
        <v>12515.72883924029</v>
      </c>
    </row>
    <row r="19" spans="1:6" x14ac:dyDescent="0.35">
      <c r="A19">
        <v>13</v>
      </c>
      <c r="B19" s="1">
        <v>1000</v>
      </c>
      <c r="C19" s="1">
        <f t="shared" si="2"/>
        <v>12515.72883924029</v>
      </c>
      <c r="D19" s="1">
        <f t="shared" si="3"/>
        <v>0.75</v>
      </c>
      <c r="E19" s="1">
        <f t="shared" si="0"/>
        <v>93.867966294302164</v>
      </c>
      <c r="F19" s="1">
        <f t="shared" si="1"/>
        <v>13609.596805534591</v>
      </c>
    </row>
    <row r="20" spans="1:6" x14ac:dyDescent="0.35">
      <c r="A20">
        <v>14</v>
      </c>
      <c r="B20" s="1">
        <v>1000</v>
      </c>
      <c r="C20" s="1">
        <f t="shared" si="2"/>
        <v>13609.596805534591</v>
      </c>
      <c r="D20" s="1">
        <f t="shared" si="3"/>
        <v>0.75</v>
      </c>
      <c r="E20" s="1">
        <f t="shared" si="0"/>
        <v>102.07197604150944</v>
      </c>
      <c r="F20" s="1">
        <f t="shared" si="1"/>
        <v>14711.6687815761</v>
      </c>
    </row>
    <row r="21" spans="1:6" x14ac:dyDescent="0.35">
      <c r="A21">
        <v>15</v>
      </c>
      <c r="B21" s="1">
        <v>1000</v>
      </c>
      <c r="C21" s="1">
        <f t="shared" si="2"/>
        <v>14711.6687815761</v>
      </c>
      <c r="D21" s="1">
        <f t="shared" si="3"/>
        <v>0.75</v>
      </c>
      <c r="E21" s="1">
        <f t="shared" si="0"/>
        <v>110.33751586182076</v>
      </c>
      <c r="F21" s="1">
        <f t="shared" si="1"/>
        <v>15822.00629743792</v>
      </c>
    </row>
    <row r="22" spans="1:6" x14ac:dyDescent="0.35">
      <c r="A22">
        <v>16</v>
      </c>
      <c r="B22" s="1">
        <v>1000</v>
      </c>
      <c r="C22" s="1">
        <f t="shared" si="2"/>
        <v>15822.00629743792</v>
      </c>
      <c r="D22" s="1">
        <f t="shared" si="3"/>
        <v>0.75</v>
      </c>
      <c r="E22" s="1">
        <f t="shared" si="0"/>
        <v>118.66504723078441</v>
      </c>
      <c r="F22" s="1">
        <f t="shared" si="1"/>
        <v>16940.671344668703</v>
      </c>
    </row>
    <row r="23" spans="1:6" x14ac:dyDescent="0.35">
      <c r="A23">
        <v>17</v>
      </c>
      <c r="B23" s="1">
        <v>1000</v>
      </c>
      <c r="C23" s="1">
        <f t="shared" si="2"/>
        <v>16940.671344668703</v>
      </c>
      <c r="D23" s="1">
        <f t="shared" si="3"/>
        <v>0.75</v>
      </c>
      <c r="E23" s="1">
        <f t="shared" si="0"/>
        <v>127.05503508501526</v>
      </c>
      <c r="F23" s="1">
        <f t="shared" si="1"/>
        <v>18067.726379753716</v>
      </c>
    </row>
    <row r="24" spans="1:6" x14ac:dyDescent="0.35">
      <c r="A24">
        <v>18</v>
      </c>
      <c r="B24" s="1">
        <v>1000</v>
      </c>
      <c r="C24" s="1">
        <f t="shared" si="2"/>
        <v>18067.726379753716</v>
      </c>
      <c r="D24" s="1">
        <f t="shared" si="3"/>
        <v>0.75</v>
      </c>
      <c r="E24" s="1">
        <f t="shared" si="0"/>
        <v>135.50794784815287</v>
      </c>
      <c r="F24" s="1">
        <f t="shared" si="1"/>
        <v>19203.234327601869</v>
      </c>
    </row>
    <row r="25" spans="1:6" x14ac:dyDescent="0.35">
      <c r="A25">
        <v>19</v>
      </c>
      <c r="B25" s="1">
        <v>1000</v>
      </c>
      <c r="C25" s="1">
        <f t="shared" si="2"/>
        <v>19203.234327601869</v>
      </c>
      <c r="D25" s="1">
        <f t="shared" si="3"/>
        <v>0.75</v>
      </c>
      <c r="E25" s="1">
        <f t="shared" si="0"/>
        <v>144.02425745701402</v>
      </c>
      <c r="F25" s="1">
        <f t="shared" si="1"/>
        <v>20347.258585058884</v>
      </c>
    </row>
    <row r="26" spans="1:6" x14ac:dyDescent="0.35">
      <c r="A26">
        <v>20</v>
      </c>
      <c r="B26" s="1">
        <v>1000</v>
      </c>
      <c r="C26" s="1">
        <f t="shared" si="2"/>
        <v>20347.258585058884</v>
      </c>
      <c r="D26" s="1">
        <f t="shared" si="3"/>
        <v>0.75</v>
      </c>
      <c r="E26" s="1">
        <f t="shared" si="0"/>
        <v>152.60443938794162</v>
      </c>
      <c r="F26" s="1">
        <f t="shared" si="1"/>
        <v>21499.863024446826</v>
      </c>
    </row>
    <row r="27" spans="1:6" x14ac:dyDescent="0.35">
      <c r="A27">
        <v>21</v>
      </c>
      <c r="B27" s="1">
        <v>1000</v>
      </c>
      <c r="C27" s="1">
        <f t="shared" si="2"/>
        <v>21499.863024446826</v>
      </c>
      <c r="D27" s="1">
        <f t="shared" si="3"/>
        <v>0.75</v>
      </c>
      <c r="E27" s="1">
        <f t="shared" si="0"/>
        <v>161.24897268335121</v>
      </c>
      <c r="F27" s="1">
        <f t="shared" si="1"/>
        <v>22661.111997130178</v>
      </c>
    </row>
    <row r="28" spans="1:6" x14ac:dyDescent="0.35">
      <c r="A28">
        <v>22</v>
      </c>
      <c r="B28" s="1">
        <v>1000</v>
      </c>
      <c r="C28" s="1">
        <f t="shared" si="2"/>
        <v>22661.111997130178</v>
      </c>
      <c r="D28" s="1">
        <f t="shared" si="3"/>
        <v>0.75</v>
      </c>
      <c r="E28" s="1">
        <f t="shared" si="0"/>
        <v>169.95833997847632</v>
      </c>
      <c r="F28" s="1">
        <f t="shared" si="1"/>
        <v>23831.070337108653</v>
      </c>
    </row>
    <row r="29" spans="1:6" x14ac:dyDescent="0.35">
      <c r="A29">
        <v>23</v>
      </c>
      <c r="B29" s="1">
        <v>1000</v>
      </c>
      <c r="C29" s="1">
        <f t="shared" si="2"/>
        <v>23831.070337108653</v>
      </c>
      <c r="D29" s="1">
        <f t="shared" si="3"/>
        <v>0.75</v>
      </c>
      <c r="E29" s="1">
        <f t="shared" si="0"/>
        <v>178.73302752831489</v>
      </c>
      <c r="F29" s="1">
        <f t="shared" si="1"/>
        <v>25009.803364636969</v>
      </c>
    </row>
    <row r="30" spans="1:6" x14ac:dyDescent="0.35">
      <c r="A30">
        <v>24</v>
      </c>
      <c r="B30" s="1">
        <v>1000</v>
      </c>
      <c r="C30" s="1">
        <f t="shared" si="2"/>
        <v>25009.803364636969</v>
      </c>
      <c r="D30" s="1">
        <f t="shared" si="3"/>
        <v>0.75</v>
      </c>
      <c r="E30" s="1">
        <f t="shared" si="0"/>
        <v>187.57352523477726</v>
      </c>
      <c r="F30" s="1">
        <f t="shared" si="1"/>
        <v>26197.376889871746</v>
      </c>
    </row>
    <row r="31" spans="1:6" x14ac:dyDescent="0.35">
      <c r="A31">
        <v>25</v>
      </c>
      <c r="B31" s="1">
        <v>1000</v>
      </c>
      <c r="C31" s="1">
        <f t="shared" si="2"/>
        <v>26197.376889871746</v>
      </c>
      <c r="D31" s="1">
        <f t="shared" si="3"/>
        <v>0.75</v>
      </c>
      <c r="E31" s="1">
        <f t="shared" si="0"/>
        <v>196.48032667403808</v>
      </c>
      <c r="F31" s="1">
        <f t="shared" si="1"/>
        <v>27393.857216545784</v>
      </c>
    </row>
    <row r="32" spans="1:6" x14ac:dyDescent="0.35">
      <c r="A32">
        <v>26</v>
      </c>
      <c r="B32" s="1">
        <v>1000</v>
      </c>
      <c r="C32" s="1">
        <f t="shared" si="2"/>
        <v>27393.857216545784</v>
      </c>
      <c r="D32" s="1">
        <f t="shared" si="3"/>
        <v>0.75</v>
      </c>
      <c r="E32" s="1">
        <f t="shared" si="0"/>
        <v>205.45392912409338</v>
      </c>
      <c r="F32" s="1">
        <f t="shared" si="1"/>
        <v>28599.311145669879</v>
      </c>
    </row>
    <row r="33" spans="1:6" x14ac:dyDescent="0.35">
      <c r="A33">
        <v>27</v>
      </c>
      <c r="B33" s="1">
        <v>1000</v>
      </c>
      <c r="C33" s="1">
        <f t="shared" si="2"/>
        <v>28599.311145669879</v>
      </c>
      <c r="D33" s="1">
        <f t="shared" si="3"/>
        <v>0.75</v>
      </c>
      <c r="E33" s="1">
        <f t="shared" si="0"/>
        <v>214.49483359252409</v>
      </c>
      <c r="F33" s="1">
        <f t="shared" si="1"/>
        <v>29813.805979262404</v>
      </c>
    </row>
    <row r="34" spans="1:6" x14ac:dyDescent="0.35">
      <c r="A34">
        <v>28</v>
      </c>
      <c r="B34" s="1">
        <v>1000</v>
      </c>
      <c r="C34" s="1">
        <f t="shared" si="2"/>
        <v>29813.805979262404</v>
      </c>
      <c r="D34" s="1">
        <f t="shared" si="3"/>
        <v>0.75</v>
      </c>
      <c r="E34" s="1">
        <f t="shared" si="0"/>
        <v>223.60354484446805</v>
      </c>
      <c r="F34" s="1">
        <f t="shared" si="1"/>
        <v>31037.409524106872</v>
      </c>
    </row>
    <row r="35" spans="1:6" x14ac:dyDescent="0.35">
      <c r="A35">
        <v>29</v>
      </c>
      <c r="B35" s="1">
        <v>1000</v>
      </c>
      <c r="C35" s="1">
        <f t="shared" si="2"/>
        <v>31037.409524106872</v>
      </c>
      <c r="D35" s="1">
        <f t="shared" si="3"/>
        <v>0.75</v>
      </c>
      <c r="E35" s="1">
        <f t="shared" si="0"/>
        <v>232.78057143080153</v>
      </c>
      <c r="F35" s="1">
        <f t="shared" si="1"/>
        <v>32270.190095537673</v>
      </c>
    </row>
    <row r="36" spans="1:6" x14ac:dyDescent="0.35">
      <c r="A36">
        <v>30</v>
      </c>
      <c r="B36" s="1">
        <v>1000</v>
      </c>
      <c r="C36" s="1">
        <f t="shared" si="2"/>
        <v>32270.190095537673</v>
      </c>
      <c r="D36" s="1">
        <f t="shared" si="3"/>
        <v>0.75</v>
      </c>
      <c r="E36" s="1">
        <f t="shared" si="0"/>
        <v>242.02642571653254</v>
      </c>
      <c r="F36" s="1">
        <f t="shared" si="1"/>
        <v>33512.21652125421</v>
      </c>
    </row>
    <row r="37" spans="1:6" x14ac:dyDescent="0.35">
      <c r="A37">
        <v>31</v>
      </c>
      <c r="B37" s="1">
        <v>1000</v>
      </c>
      <c r="C37" s="1">
        <f t="shared" si="2"/>
        <v>33512.21652125421</v>
      </c>
      <c r="D37" s="1">
        <f t="shared" si="3"/>
        <v>0.75</v>
      </c>
      <c r="E37" s="1">
        <f t="shared" si="0"/>
        <v>251.34162390940656</v>
      </c>
      <c r="F37" s="1">
        <f t="shared" si="1"/>
        <v>34763.558145163617</v>
      </c>
    </row>
    <row r="38" spans="1:6" x14ac:dyDescent="0.35">
      <c r="A38">
        <v>32</v>
      </c>
      <c r="B38" s="1">
        <v>1000</v>
      </c>
      <c r="C38" s="1">
        <f t="shared" si="2"/>
        <v>34763.558145163617</v>
      </c>
      <c r="D38" s="1">
        <f t="shared" si="3"/>
        <v>0.75</v>
      </c>
      <c r="E38" s="1">
        <f t="shared" si="0"/>
        <v>260.72668608872715</v>
      </c>
      <c r="F38" s="1">
        <f t="shared" si="1"/>
        <v>36024.284831252342</v>
      </c>
    </row>
    <row r="39" spans="1:6" x14ac:dyDescent="0.35">
      <c r="A39">
        <v>33</v>
      </c>
      <c r="B39" s="1">
        <v>1000</v>
      </c>
      <c r="C39" s="1">
        <f t="shared" si="2"/>
        <v>36024.284831252342</v>
      </c>
      <c r="D39" s="1">
        <f t="shared" si="3"/>
        <v>0.75</v>
      </c>
      <c r="E39" s="1">
        <f t="shared" si="0"/>
        <v>270.18213623439254</v>
      </c>
      <c r="F39" s="1">
        <f t="shared" si="1"/>
        <v>37294.466967486733</v>
      </c>
    </row>
    <row r="40" spans="1:6" x14ac:dyDescent="0.35">
      <c r="A40">
        <v>34</v>
      </c>
      <c r="B40" s="1">
        <v>1000</v>
      </c>
      <c r="C40" s="1">
        <f t="shared" si="2"/>
        <v>37294.466967486733</v>
      </c>
      <c r="D40" s="1">
        <f t="shared" si="3"/>
        <v>0.75</v>
      </c>
      <c r="E40" s="1">
        <f t="shared" si="0"/>
        <v>279.7085022561505</v>
      </c>
      <c r="F40" s="1">
        <f t="shared" si="1"/>
        <v>38574.175469742884</v>
      </c>
    </row>
    <row r="41" spans="1:6" x14ac:dyDescent="0.35">
      <c r="A41">
        <v>35</v>
      </c>
      <c r="B41" s="1">
        <v>1000</v>
      </c>
      <c r="C41" s="1">
        <f t="shared" si="2"/>
        <v>38574.175469742884</v>
      </c>
      <c r="D41" s="1">
        <f t="shared" si="3"/>
        <v>0.75</v>
      </c>
      <c r="E41" s="1">
        <f t="shared" si="0"/>
        <v>289.30631602307164</v>
      </c>
      <c r="F41" s="1">
        <f t="shared" si="1"/>
        <v>39863.481785765958</v>
      </c>
    </row>
    <row r="42" spans="1:6" x14ac:dyDescent="0.35">
      <c r="A42">
        <v>36</v>
      </c>
      <c r="B42" s="1">
        <v>1000</v>
      </c>
      <c r="C42" s="1">
        <f t="shared" si="2"/>
        <v>39863.481785765958</v>
      </c>
      <c r="D42" s="1">
        <f t="shared" si="3"/>
        <v>0.75</v>
      </c>
      <c r="E42" s="1">
        <f t="shared" si="0"/>
        <v>298.97611339324465</v>
      </c>
      <c r="F42" s="1">
        <f t="shared" si="1"/>
        <v>41162.457899159206</v>
      </c>
    </row>
    <row r="43" spans="1:6" x14ac:dyDescent="0.35">
      <c r="A43">
        <v>37</v>
      </c>
      <c r="B43" s="1">
        <v>1000</v>
      </c>
      <c r="C43" s="1">
        <f t="shared" si="2"/>
        <v>41162.457899159206</v>
      </c>
      <c r="D43" s="1">
        <f t="shared" si="3"/>
        <v>0.75</v>
      </c>
      <c r="E43" s="1">
        <f t="shared" si="0"/>
        <v>308.71843424369405</v>
      </c>
      <c r="F43" s="1">
        <f t="shared" si="1"/>
        <v>42471.176333402902</v>
      </c>
    </row>
    <row r="44" spans="1:6" x14ac:dyDescent="0.35">
      <c r="A44">
        <v>38</v>
      </c>
      <c r="B44" s="1">
        <v>1000</v>
      </c>
      <c r="C44" s="1">
        <f t="shared" si="2"/>
        <v>42471.176333402902</v>
      </c>
      <c r="D44" s="1">
        <f t="shared" si="3"/>
        <v>0.75</v>
      </c>
      <c r="E44" s="1">
        <f t="shared" si="0"/>
        <v>318.53382250052181</v>
      </c>
      <c r="F44" s="1">
        <f t="shared" si="1"/>
        <v>43789.710155903427</v>
      </c>
    </row>
    <row r="45" spans="1:6" x14ac:dyDescent="0.35">
      <c r="A45">
        <v>39</v>
      </c>
      <c r="B45" s="1">
        <v>1000</v>
      </c>
      <c r="C45" s="1">
        <f t="shared" si="2"/>
        <v>43789.710155903427</v>
      </c>
      <c r="D45" s="1">
        <f t="shared" si="3"/>
        <v>0.75</v>
      </c>
      <c r="E45" s="1">
        <f t="shared" si="0"/>
        <v>328.42282616927571</v>
      </c>
      <c r="F45" s="1">
        <f t="shared" si="1"/>
        <v>45118.132982072704</v>
      </c>
    </row>
    <row r="46" spans="1:6" x14ac:dyDescent="0.35">
      <c r="A46">
        <v>40</v>
      </c>
      <c r="B46" s="1">
        <v>1000</v>
      </c>
      <c r="C46" s="1">
        <f t="shared" si="2"/>
        <v>45118.132982072704</v>
      </c>
      <c r="D46" s="1">
        <f t="shared" si="3"/>
        <v>0.75</v>
      </c>
      <c r="E46" s="1">
        <f t="shared" si="0"/>
        <v>338.38599736554528</v>
      </c>
      <c r="F46" s="1">
        <f t="shared" si="1"/>
        <v>46456.518979438246</v>
      </c>
    </row>
    <row r="47" spans="1:6" x14ac:dyDescent="0.35">
      <c r="A47">
        <v>41</v>
      </c>
      <c r="B47" s="1">
        <v>1000</v>
      </c>
      <c r="C47" s="1">
        <f t="shared" si="2"/>
        <v>46456.518979438246</v>
      </c>
      <c r="D47" s="1">
        <f t="shared" si="3"/>
        <v>0.75</v>
      </c>
      <c r="E47" s="1">
        <f t="shared" si="0"/>
        <v>348.4238923457869</v>
      </c>
      <c r="F47" s="1">
        <f t="shared" si="1"/>
        <v>47804.942871784035</v>
      </c>
    </row>
    <row r="48" spans="1:6" x14ac:dyDescent="0.35">
      <c r="A48">
        <v>42</v>
      </c>
      <c r="B48" s="1">
        <v>1000</v>
      </c>
      <c r="C48" s="1">
        <f t="shared" si="2"/>
        <v>47804.942871784035</v>
      </c>
      <c r="D48" s="1">
        <f t="shared" si="3"/>
        <v>0.75</v>
      </c>
      <c r="E48" s="1">
        <f t="shared" si="0"/>
        <v>358.53707153838025</v>
      </c>
      <c r="F48" s="1">
        <f t="shared" si="1"/>
        <v>49163.479943322418</v>
      </c>
    </row>
    <row r="49" spans="1:6" x14ac:dyDescent="0.35">
      <c r="A49">
        <v>43</v>
      </c>
      <c r="B49" s="1">
        <v>1000</v>
      </c>
      <c r="C49" s="1">
        <f t="shared" si="2"/>
        <v>49163.479943322418</v>
      </c>
      <c r="D49" s="1">
        <f t="shared" si="3"/>
        <v>0.75</v>
      </c>
      <c r="E49" s="1">
        <f t="shared" si="0"/>
        <v>368.72609957491812</v>
      </c>
      <c r="F49" s="1">
        <f t="shared" si="1"/>
        <v>50532.206042897335</v>
      </c>
    </row>
    <row r="50" spans="1:6" x14ac:dyDescent="0.35">
      <c r="A50">
        <v>44</v>
      </c>
      <c r="B50" s="1">
        <v>1000</v>
      </c>
      <c r="C50" s="1">
        <f t="shared" si="2"/>
        <v>50532.206042897335</v>
      </c>
      <c r="D50" s="1">
        <f t="shared" si="3"/>
        <v>0.75</v>
      </c>
      <c r="E50" s="1">
        <f t="shared" si="0"/>
        <v>378.99154532173003</v>
      </c>
      <c r="F50" s="1">
        <f t="shared" si="1"/>
        <v>51911.197588219067</v>
      </c>
    </row>
    <row r="51" spans="1:6" x14ac:dyDescent="0.35">
      <c r="A51">
        <v>45</v>
      </c>
      <c r="B51" s="1">
        <v>1000</v>
      </c>
      <c r="C51" s="1">
        <f t="shared" si="2"/>
        <v>51911.197588219067</v>
      </c>
      <c r="D51" s="1">
        <f t="shared" si="3"/>
        <v>0.75</v>
      </c>
      <c r="E51" s="1">
        <f t="shared" si="0"/>
        <v>389.33398191164298</v>
      </c>
      <c r="F51" s="1">
        <f t="shared" si="1"/>
        <v>53300.531570130712</v>
      </c>
    </row>
    <row r="52" spans="1:6" x14ac:dyDescent="0.35">
      <c r="A52">
        <v>46</v>
      </c>
      <c r="B52" s="1">
        <v>1000</v>
      </c>
      <c r="C52" s="1">
        <f t="shared" si="2"/>
        <v>53300.531570130712</v>
      </c>
      <c r="D52" s="1">
        <f t="shared" si="3"/>
        <v>0.75</v>
      </c>
      <c r="E52" s="1">
        <f t="shared" si="0"/>
        <v>399.75398677598031</v>
      </c>
      <c r="F52" s="1">
        <f t="shared" si="1"/>
        <v>54700.285556906689</v>
      </c>
    </row>
    <row r="53" spans="1:6" x14ac:dyDescent="0.35">
      <c r="A53">
        <v>47</v>
      </c>
      <c r="B53" s="1">
        <v>1000</v>
      </c>
      <c r="C53" s="1">
        <f t="shared" si="2"/>
        <v>54700.285556906689</v>
      </c>
      <c r="D53" s="1">
        <f t="shared" si="3"/>
        <v>0.75</v>
      </c>
      <c r="E53" s="1">
        <f t="shared" si="0"/>
        <v>410.25214167680019</v>
      </c>
      <c r="F53" s="1">
        <f t="shared" si="1"/>
        <v>56110.537698583488</v>
      </c>
    </row>
    <row r="54" spans="1:6" x14ac:dyDescent="0.35">
      <c r="A54">
        <v>48</v>
      </c>
      <c r="B54" s="1">
        <v>1000</v>
      </c>
      <c r="C54" s="1">
        <f t="shared" si="2"/>
        <v>56110.537698583488</v>
      </c>
      <c r="D54" s="1">
        <f t="shared" si="3"/>
        <v>0.75</v>
      </c>
      <c r="E54" s="1">
        <f t="shared" si="0"/>
        <v>420.82903273937615</v>
      </c>
      <c r="F54" s="1">
        <f t="shared" si="1"/>
        <v>57531.366731322865</v>
      </c>
    </row>
    <row r="55" spans="1:6" x14ac:dyDescent="0.35">
      <c r="A55">
        <v>49</v>
      </c>
      <c r="B55" s="1">
        <v>1000</v>
      </c>
      <c r="C55" s="1">
        <f t="shared" si="2"/>
        <v>57531.366731322865</v>
      </c>
      <c r="D55" s="1">
        <f t="shared" si="3"/>
        <v>0.75</v>
      </c>
      <c r="E55" s="1">
        <f t="shared" si="0"/>
        <v>431.48525048492149</v>
      </c>
      <c r="F55" s="1">
        <f t="shared" si="1"/>
        <v>58962.851981807784</v>
      </c>
    </row>
    <row r="56" spans="1:6" x14ac:dyDescent="0.35">
      <c r="A56">
        <v>50</v>
      </c>
      <c r="B56" s="1">
        <v>1000</v>
      </c>
      <c r="C56" s="1">
        <f t="shared" si="2"/>
        <v>58962.851981807784</v>
      </c>
      <c r="D56" s="1">
        <f t="shared" si="3"/>
        <v>0.75</v>
      </c>
      <c r="E56" s="1">
        <f t="shared" si="0"/>
        <v>442.22138986355839</v>
      </c>
      <c r="F56" s="1">
        <f t="shared" si="1"/>
        <v>60405.073371671344</v>
      </c>
    </row>
    <row r="57" spans="1:6" x14ac:dyDescent="0.35">
      <c r="A57">
        <v>51</v>
      </c>
      <c r="B57" s="1">
        <v>1000</v>
      </c>
      <c r="C57" s="1">
        <f t="shared" si="2"/>
        <v>60405.073371671344</v>
      </c>
      <c r="D57" s="1">
        <f t="shared" si="3"/>
        <v>0.75</v>
      </c>
      <c r="E57" s="1">
        <f t="shared" si="0"/>
        <v>453.0380502875351</v>
      </c>
      <c r="F57" s="1">
        <f t="shared" si="1"/>
        <v>61858.111421958878</v>
      </c>
    </row>
    <row r="58" spans="1:6" x14ac:dyDescent="0.35">
      <c r="A58">
        <v>52</v>
      </c>
      <c r="B58" s="1">
        <v>1000</v>
      </c>
      <c r="C58" s="1">
        <f t="shared" si="2"/>
        <v>61858.111421958878</v>
      </c>
      <c r="D58" s="1">
        <f t="shared" si="3"/>
        <v>0.75</v>
      </c>
      <c r="E58" s="1">
        <f t="shared" si="0"/>
        <v>463.93583566469152</v>
      </c>
      <c r="F58" s="1">
        <f t="shared" si="1"/>
        <v>63322.04725762357</v>
      </c>
    </row>
    <row r="59" spans="1:6" x14ac:dyDescent="0.35">
      <c r="A59">
        <v>53</v>
      </c>
      <c r="B59" s="1">
        <v>1000</v>
      </c>
      <c r="C59" s="1">
        <f t="shared" si="2"/>
        <v>63322.04725762357</v>
      </c>
      <c r="D59" s="1">
        <f t="shared" si="3"/>
        <v>0.75</v>
      </c>
      <c r="E59" s="1">
        <f t="shared" si="0"/>
        <v>474.91535443217674</v>
      </c>
      <c r="F59" s="1">
        <f t="shared" si="1"/>
        <v>64796.962612055744</v>
      </c>
    </row>
    <row r="60" spans="1:6" x14ac:dyDescent="0.35">
      <c r="A60">
        <v>54</v>
      </c>
      <c r="B60" s="1">
        <v>1000</v>
      </c>
      <c r="C60" s="1">
        <f t="shared" si="2"/>
        <v>64796.962612055744</v>
      </c>
      <c r="D60" s="1">
        <f t="shared" si="3"/>
        <v>0.75</v>
      </c>
      <c r="E60" s="1">
        <f t="shared" si="0"/>
        <v>485.97721959041809</v>
      </c>
      <c r="F60" s="1">
        <f t="shared" si="1"/>
        <v>66282.939831646159</v>
      </c>
    </row>
    <row r="61" spans="1:6" x14ac:dyDescent="0.35">
      <c r="A61">
        <v>55</v>
      </c>
      <c r="B61" s="1">
        <v>1000</v>
      </c>
      <c r="C61" s="1">
        <f t="shared" si="2"/>
        <v>66282.939831646159</v>
      </c>
      <c r="D61" s="1">
        <f t="shared" si="3"/>
        <v>0.75</v>
      </c>
      <c r="E61" s="1">
        <f t="shared" si="0"/>
        <v>497.12204873734618</v>
      </c>
      <c r="F61" s="1">
        <f t="shared" si="1"/>
        <v>67780.06188038351</v>
      </c>
    </row>
    <row r="62" spans="1:6" x14ac:dyDescent="0.35">
      <c r="A62">
        <v>56</v>
      </c>
      <c r="B62" s="1">
        <v>1000</v>
      </c>
      <c r="C62" s="1">
        <f t="shared" si="2"/>
        <v>67780.06188038351</v>
      </c>
      <c r="D62" s="1">
        <f t="shared" si="3"/>
        <v>0.75</v>
      </c>
      <c r="E62" s="1">
        <f t="shared" si="0"/>
        <v>508.35046410287629</v>
      </c>
      <c r="F62" s="1">
        <f t="shared" si="1"/>
        <v>69288.41234448638</v>
      </c>
    </row>
    <row r="63" spans="1:6" x14ac:dyDescent="0.35">
      <c r="A63">
        <v>57</v>
      </c>
      <c r="B63" s="1">
        <v>1000</v>
      </c>
      <c r="C63" s="1">
        <f t="shared" si="2"/>
        <v>69288.41234448638</v>
      </c>
      <c r="D63" s="1">
        <f t="shared" si="3"/>
        <v>0.75</v>
      </c>
      <c r="E63" s="1">
        <f t="shared" si="0"/>
        <v>519.66309258364777</v>
      </c>
      <c r="F63" s="1">
        <f t="shared" si="1"/>
        <v>70808.075437070031</v>
      </c>
    </row>
    <row r="64" spans="1:6" x14ac:dyDescent="0.35">
      <c r="A64">
        <v>58</v>
      </c>
      <c r="B64" s="1">
        <v>1000</v>
      </c>
      <c r="C64" s="1">
        <f t="shared" si="2"/>
        <v>70808.075437070031</v>
      </c>
      <c r="D64" s="1">
        <f t="shared" si="3"/>
        <v>0.75</v>
      </c>
      <c r="E64" s="1">
        <f t="shared" si="0"/>
        <v>531.06056577802519</v>
      </c>
      <c r="F64" s="1">
        <f t="shared" si="1"/>
        <v>72339.136002848056</v>
      </c>
    </row>
    <row r="65" spans="1:6" x14ac:dyDescent="0.35">
      <c r="A65">
        <v>59</v>
      </c>
      <c r="B65" s="1">
        <v>1000</v>
      </c>
      <c r="C65" s="1">
        <f t="shared" si="2"/>
        <v>72339.136002848056</v>
      </c>
      <c r="D65" s="1">
        <f t="shared" si="3"/>
        <v>0.75</v>
      </c>
      <c r="E65" s="1">
        <f t="shared" si="0"/>
        <v>542.54352002136045</v>
      </c>
      <c r="F65" s="1">
        <f t="shared" si="1"/>
        <v>73881.67952286941</v>
      </c>
    </row>
    <row r="66" spans="1:6" x14ac:dyDescent="0.35">
      <c r="A66">
        <v>60</v>
      </c>
      <c r="B66" s="1">
        <v>1000</v>
      </c>
      <c r="C66" s="1">
        <f t="shared" si="2"/>
        <v>73881.67952286941</v>
      </c>
      <c r="D66" s="1">
        <f t="shared" si="3"/>
        <v>0.75</v>
      </c>
      <c r="E66" s="1">
        <f t="shared" si="0"/>
        <v>554.11259642152061</v>
      </c>
      <c r="F66" s="1">
        <f t="shared" si="1"/>
        <v>75435.792119290927</v>
      </c>
    </row>
    <row r="67" spans="1:6" x14ac:dyDescent="0.35">
      <c r="A67">
        <v>61</v>
      </c>
      <c r="B67" s="1">
        <v>1000</v>
      </c>
      <c r="C67" s="1">
        <f t="shared" si="2"/>
        <v>75435.792119290927</v>
      </c>
      <c r="D67" s="1">
        <f t="shared" si="3"/>
        <v>0.75</v>
      </c>
      <c r="E67" s="1">
        <f t="shared" si="0"/>
        <v>565.76844089468204</v>
      </c>
      <c r="F67" s="1">
        <f t="shared" si="1"/>
        <v>77001.560560185608</v>
      </c>
    </row>
    <row r="68" spans="1:6" x14ac:dyDescent="0.35">
      <c r="A68">
        <v>62</v>
      </c>
      <c r="B68" s="1">
        <v>1000</v>
      </c>
      <c r="C68" s="1">
        <f t="shared" si="2"/>
        <v>77001.560560185608</v>
      </c>
      <c r="D68" s="1">
        <f t="shared" si="3"/>
        <v>0.75</v>
      </c>
      <c r="E68" s="1">
        <f t="shared" si="0"/>
        <v>577.51170420139204</v>
      </c>
      <c r="F68" s="1">
        <f t="shared" si="1"/>
        <v>78579.072264386996</v>
      </c>
    </row>
    <row r="69" spans="1:6" x14ac:dyDescent="0.35">
      <c r="A69">
        <v>63</v>
      </c>
      <c r="B69" s="1">
        <v>1000</v>
      </c>
      <c r="C69" s="1">
        <f t="shared" si="2"/>
        <v>78579.072264386996</v>
      </c>
      <c r="D69" s="1">
        <f t="shared" si="3"/>
        <v>0.75</v>
      </c>
      <c r="E69" s="1">
        <f t="shared" si="0"/>
        <v>589.34304198290249</v>
      </c>
      <c r="F69" s="1">
        <f t="shared" si="1"/>
        <v>80168.415306369905</v>
      </c>
    </row>
    <row r="70" spans="1:6" x14ac:dyDescent="0.35">
      <c r="A70">
        <v>64</v>
      </c>
      <c r="B70" s="1">
        <v>1000</v>
      </c>
      <c r="C70" s="1">
        <f t="shared" si="2"/>
        <v>80168.415306369905</v>
      </c>
      <c r="D70" s="1">
        <f t="shared" si="3"/>
        <v>0.75</v>
      </c>
      <c r="E70" s="1">
        <f t="shared" si="0"/>
        <v>601.26311479777428</v>
      </c>
      <c r="F70" s="1">
        <f t="shared" si="1"/>
        <v>81769.678421167686</v>
      </c>
    </row>
    <row r="71" spans="1:6" x14ac:dyDescent="0.35">
      <c r="A71">
        <v>65</v>
      </c>
      <c r="B71" s="1">
        <v>1000</v>
      </c>
      <c r="C71" s="1">
        <f t="shared" si="2"/>
        <v>81769.678421167686</v>
      </c>
      <c r="D71" s="1">
        <f t="shared" si="3"/>
        <v>0.75</v>
      </c>
      <c r="E71" s="1">
        <f t="shared" si="0"/>
        <v>613.27258815875769</v>
      </c>
      <c r="F71" s="1">
        <f t="shared" si="1"/>
        <v>83382.95100932644</v>
      </c>
    </row>
    <row r="72" spans="1:6" x14ac:dyDescent="0.35">
      <c r="A72">
        <v>66</v>
      </c>
      <c r="B72" s="1">
        <v>1000</v>
      </c>
      <c r="C72" s="1">
        <f t="shared" si="2"/>
        <v>83382.95100932644</v>
      </c>
      <c r="D72" s="1">
        <f t="shared" si="3"/>
        <v>0.75</v>
      </c>
      <c r="E72" s="1">
        <f t="shared" si="0"/>
        <v>625.37213256994835</v>
      </c>
      <c r="F72" s="1">
        <f t="shared" si="1"/>
        <v>85008.323141896384</v>
      </c>
    </row>
    <row r="73" spans="1:6" x14ac:dyDescent="0.35">
      <c r="A73">
        <v>67</v>
      </c>
      <c r="B73" s="1">
        <v>1000</v>
      </c>
      <c r="C73" s="1">
        <f t="shared" si="2"/>
        <v>85008.323141896384</v>
      </c>
      <c r="D73" s="1">
        <f t="shared" si="3"/>
        <v>0.75</v>
      </c>
      <c r="E73" s="1">
        <f t="shared" ref="E73:E86" si="4">C73*D73/100</f>
        <v>637.56242356422285</v>
      </c>
      <c r="F73" s="1">
        <f t="shared" si="1"/>
        <v>86645.885565460601</v>
      </c>
    </row>
    <row r="74" spans="1:6" x14ac:dyDescent="0.35">
      <c r="A74">
        <v>68</v>
      </c>
      <c r="B74" s="1">
        <v>1000</v>
      </c>
      <c r="C74" s="1">
        <f t="shared" si="2"/>
        <v>86645.885565460601</v>
      </c>
      <c r="D74" s="1">
        <f t="shared" si="3"/>
        <v>0.75</v>
      </c>
      <c r="E74" s="1">
        <f t="shared" si="4"/>
        <v>649.84414174095446</v>
      </c>
      <c r="F74" s="1">
        <f t="shared" ref="F74:F90" si="5">B74+C74+E74</f>
        <v>88295.72970720155</v>
      </c>
    </row>
    <row r="75" spans="1:6" x14ac:dyDescent="0.35">
      <c r="A75">
        <v>69</v>
      </c>
      <c r="B75" s="1">
        <v>1000</v>
      </c>
      <c r="C75" s="1">
        <f t="shared" ref="C75:C90" si="6">F74</f>
        <v>88295.72970720155</v>
      </c>
      <c r="D75" s="1">
        <f t="shared" ref="D75:D90" si="7">B$2</f>
        <v>0.75</v>
      </c>
      <c r="E75" s="1">
        <f t="shared" si="4"/>
        <v>662.21797280401165</v>
      </c>
      <c r="F75" s="1">
        <f t="shared" si="5"/>
        <v>89957.947680005556</v>
      </c>
    </row>
    <row r="76" spans="1:6" x14ac:dyDescent="0.35">
      <c r="A76">
        <v>70</v>
      </c>
      <c r="B76" s="1">
        <v>1000</v>
      </c>
      <c r="C76" s="1">
        <f t="shared" si="6"/>
        <v>89957.947680005556</v>
      </c>
      <c r="D76" s="1">
        <f t="shared" si="7"/>
        <v>0.75</v>
      </c>
      <c r="E76" s="1">
        <f t="shared" si="4"/>
        <v>674.68460760004166</v>
      </c>
      <c r="F76" s="1">
        <f t="shared" si="5"/>
        <v>91632.632287605593</v>
      </c>
    </row>
    <row r="77" spans="1:6" x14ac:dyDescent="0.35">
      <c r="A77">
        <v>71</v>
      </c>
      <c r="B77" s="1">
        <v>1000</v>
      </c>
      <c r="C77" s="1">
        <f t="shared" si="6"/>
        <v>91632.632287605593</v>
      </c>
      <c r="D77" s="1">
        <f t="shared" si="7"/>
        <v>0.75</v>
      </c>
      <c r="E77" s="1">
        <f t="shared" si="4"/>
        <v>687.24474215704186</v>
      </c>
      <c r="F77" s="1">
        <f t="shared" si="5"/>
        <v>93319.877029762632</v>
      </c>
    </row>
    <row r="78" spans="1:6" x14ac:dyDescent="0.35">
      <c r="A78">
        <v>72</v>
      </c>
      <c r="B78" s="1">
        <v>1000</v>
      </c>
      <c r="C78" s="1">
        <f t="shared" si="6"/>
        <v>93319.877029762632</v>
      </c>
      <c r="D78" s="1">
        <f t="shared" si="7"/>
        <v>0.75</v>
      </c>
      <c r="E78" s="1">
        <f t="shared" si="4"/>
        <v>699.89907772321976</v>
      </c>
      <c r="F78" s="1">
        <f t="shared" si="5"/>
        <v>95019.776107485857</v>
      </c>
    </row>
    <row r="79" spans="1:6" x14ac:dyDescent="0.35">
      <c r="A79">
        <v>73</v>
      </c>
      <c r="B79" s="1">
        <v>1000</v>
      </c>
      <c r="C79" s="1">
        <f t="shared" si="6"/>
        <v>95019.776107485857</v>
      </c>
      <c r="D79" s="1">
        <f t="shared" si="7"/>
        <v>0.75</v>
      </c>
      <c r="E79" s="1">
        <f t="shared" si="4"/>
        <v>712.64832080614394</v>
      </c>
      <c r="F79" s="1">
        <f t="shared" si="5"/>
        <v>96732.424428291997</v>
      </c>
    </row>
    <row r="80" spans="1:6" x14ac:dyDescent="0.35">
      <c r="A80">
        <v>74</v>
      </c>
      <c r="B80" s="1">
        <v>1000</v>
      </c>
      <c r="C80" s="1">
        <f t="shared" si="6"/>
        <v>96732.424428291997</v>
      </c>
      <c r="D80" s="1">
        <f t="shared" si="7"/>
        <v>0.75</v>
      </c>
      <c r="E80" s="1">
        <f t="shared" si="4"/>
        <v>725.49318321219005</v>
      </c>
      <c r="F80" s="1">
        <f t="shared" si="5"/>
        <v>98457.917611504192</v>
      </c>
    </row>
    <row r="81" spans="1:6" x14ac:dyDescent="0.35">
      <c r="A81">
        <v>75</v>
      </c>
      <c r="B81" s="1">
        <v>1000</v>
      </c>
      <c r="C81" s="1">
        <f t="shared" si="6"/>
        <v>98457.917611504192</v>
      </c>
      <c r="D81" s="1">
        <f t="shared" si="7"/>
        <v>0.75</v>
      </c>
      <c r="E81" s="1">
        <f t="shared" si="4"/>
        <v>738.4343820862814</v>
      </c>
      <c r="F81" s="1">
        <f t="shared" si="5"/>
        <v>100196.35199359048</v>
      </c>
    </row>
    <row r="82" spans="1:6" x14ac:dyDescent="0.35">
      <c r="A82">
        <v>76</v>
      </c>
      <c r="B82" s="1">
        <v>1000</v>
      </c>
      <c r="C82" s="1">
        <f t="shared" si="6"/>
        <v>100196.35199359048</v>
      </c>
      <c r="D82" s="1">
        <f t="shared" si="7"/>
        <v>0.75</v>
      </c>
      <c r="E82" s="1">
        <f t="shared" si="4"/>
        <v>751.47263995192861</v>
      </c>
      <c r="F82" s="1">
        <f t="shared" si="5"/>
        <v>101947.8246335424</v>
      </c>
    </row>
    <row r="83" spans="1:6" x14ac:dyDescent="0.35">
      <c r="A83">
        <v>77</v>
      </c>
      <c r="B83" s="1">
        <v>1000</v>
      </c>
      <c r="C83" s="1">
        <f t="shared" si="6"/>
        <v>101947.8246335424</v>
      </c>
      <c r="D83" s="1">
        <f t="shared" si="7"/>
        <v>0.75</v>
      </c>
      <c r="E83" s="1">
        <f t="shared" si="4"/>
        <v>764.60868475156803</v>
      </c>
      <c r="F83" s="1">
        <f t="shared" si="5"/>
        <v>103712.43331829397</v>
      </c>
    </row>
    <row r="84" spans="1:6" x14ac:dyDescent="0.35">
      <c r="A84">
        <v>78</v>
      </c>
      <c r="B84" s="1">
        <v>1000</v>
      </c>
      <c r="C84" s="1">
        <f t="shared" si="6"/>
        <v>103712.43331829397</v>
      </c>
      <c r="D84" s="1">
        <f t="shared" si="7"/>
        <v>0.75</v>
      </c>
      <c r="E84" s="1">
        <f t="shared" si="4"/>
        <v>777.84324988720471</v>
      </c>
      <c r="F84" s="1">
        <f t="shared" si="5"/>
        <v>105490.27656818117</v>
      </c>
    </row>
    <row r="85" spans="1:6" x14ac:dyDescent="0.35">
      <c r="A85">
        <v>79</v>
      </c>
      <c r="B85" s="1">
        <v>1000</v>
      </c>
      <c r="C85" s="1">
        <f t="shared" si="6"/>
        <v>105490.27656818117</v>
      </c>
      <c r="D85" s="1">
        <f t="shared" si="7"/>
        <v>0.75</v>
      </c>
      <c r="E85" s="1">
        <f t="shared" si="4"/>
        <v>791.17707426135883</v>
      </c>
      <c r="F85" s="1">
        <f t="shared" si="5"/>
        <v>107281.45364244253</v>
      </c>
    </row>
    <row r="86" spans="1:6" x14ac:dyDescent="0.35">
      <c r="A86">
        <v>80</v>
      </c>
      <c r="B86" s="1">
        <v>1000</v>
      </c>
      <c r="C86" s="1">
        <f t="shared" si="6"/>
        <v>107281.45364244253</v>
      </c>
      <c r="D86" s="1">
        <f t="shared" si="7"/>
        <v>0.75</v>
      </c>
      <c r="E86" s="1">
        <f t="shared" si="4"/>
        <v>804.61090231831895</v>
      </c>
      <c r="F86" s="1">
        <f t="shared" si="5"/>
        <v>109086.06454476085</v>
      </c>
    </row>
    <row r="87" spans="1:6" x14ac:dyDescent="0.35">
      <c r="A87">
        <v>81</v>
      </c>
      <c r="B87" s="1">
        <v>1000</v>
      </c>
      <c r="C87" s="1">
        <f t="shared" si="6"/>
        <v>109086.06454476085</v>
      </c>
      <c r="D87" s="1">
        <f t="shared" si="7"/>
        <v>0.75</v>
      </c>
      <c r="E87" s="1">
        <f>C87*D87/100</f>
        <v>818.14548408570636</v>
      </c>
      <c r="F87" s="1">
        <f t="shared" si="5"/>
        <v>110904.21002884656</v>
      </c>
    </row>
    <row r="88" spans="1:6" x14ac:dyDescent="0.35">
      <c r="A88">
        <v>82</v>
      </c>
      <c r="B88" s="1">
        <v>1000</v>
      </c>
      <c r="C88" s="1">
        <f t="shared" si="6"/>
        <v>110904.21002884656</v>
      </c>
      <c r="D88" s="1">
        <f t="shared" si="7"/>
        <v>0.75</v>
      </c>
      <c r="E88" s="1">
        <f t="shared" ref="E88:E90" si="8">C88*D88/100</f>
        <v>831.78157521634921</v>
      </c>
      <c r="F88" s="1">
        <f t="shared" si="5"/>
        <v>112735.9916040629</v>
      </c>
    </row>
    <row r="89" spans="1:6" x14ac:dyDescent="0.35">
      <c r="A89">
        <v>83</v>
      </c>
      <c r="B89" s="1">
        <v>1000</v>
      </c>
      <c r="C89" s="1">
        <f t="shared" si="6"/>
        <v>112735.9916040629</v>
      </c>
      <c r="D89" s="1">
        <f t="shared" si="7"/>
        <v>0.75</v>
      </c>
      <c r="E89" s="1">
        <f t="shared" si="8"/>
        <v>845.51993703047174</v>
      </c>
      <c r="F89" s="1">
        <f t="shared" si="5"/>
        <v>114581.51154109338</v>
      </c>
    </row>
    <row r="90" spans="1:6" x14ac:dyDescent="0.35">
      <c r="A90">
        <v>84</v>
      </c>
      <c r="B90" s="1">
        <v>1000</v>
      </c>
      <c r="C90" s="1">
        <f t="shared" si="6"/>
        <v>114581.51154109338</v>
      </c>
      <c r="D90" s="1">
        <f t="shared" si="7"/>
        <v>0.75</v>
      </c>
      <c r="E90" s="1">
        <f t="shared" si="8"/>
        <v>859.36133655820038</v>
      </c>
      <c r="F90" s="1">
        <f t="shared" si="5"/>
        <v>116440.87287765158</v>
      </c>
    </row>
    <row r="91" spans="1:6" x14ac:dyDescent="0.35">
      <c r="F91" s="1"/>
    </row>
    <row r="92" spans="1:6" x14ac:dyDescent="0.35">
      <c r="F92" s="1"/>
    </row>
    <row r="93" spans="1:6" x14ac:dyDescent="0.35">
      <c r="F93" s="1"/>
    </row>
    <row r="94" spans="1:6" x14ac:dyDescent="0.35">
      <c r="F94" s="1"/>
    </row>
  </sheetData>
  <sheetProtection algorithmName="SHA-512" hashValue="QAPPCcWU5XfoYgoiFFxKQpSO1Uba08360cwRGcyDEgO3+UZ3vbF5Wq51Xjr8pRZe0MIWDwAF0Pd9x0K2nNGGJw==" saltValue="S67CX6ZVQ+yBlkhEbpCp0Q==" spinCount="100000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3FD97-CCB7-417F-9E0B-42104298E7AB}">
  <dimension ref="C4:E12"/>
  <sheetViews>
    <sheetView workbookViewId="0">
      <selection activeCell="D12" sqref="D12"/>
    </sheetView>
  </sheetViews>
  <sheetFormatPr defaultRowHeight="14.5" x14ac:dyDescent="0.35"/>
  <cols>
    <col min="3" max="3" width="10.26953125" customWidth="1"/>
  </cols>
  <sheetData>
    <row r="4" spans="3:5" x14ac:dyDescent="0.35">
      <c r="C4" t="s">
        <v>21</v>
      </c>
      <c r="D4">
        <v>46333.333333333328</v>
      </c>
    </row>
    <row r="5" spans="3:5" x14ac:dyDescent="0.35">
      <c r="C5" t="s">
        <v>22</v>
      </c>
      <c r="D5">
        <v>13000</v>
      </c>
    </row>
    <row r="6" spans="3:5" x14ac:dyDescent="0.35">
      <c r="C6" t="s">
        <v>23</v>
      </c>
      <c r="D6">
        <v>60</v>
      </c>
    </row>
    <row r="7" spans="3:5" x14ac:dyDescent="0.35">
      <c r="C7" t="s">
        <v>24</v>
      </c>
      <c r="D7">
        <f>(D4-D5)*D6</f>
        <v>1999999.9999999998</v>
      </c>
    </row>
    <row r="10" spans="3:5" x14ac:dyDescent="0.35">
      <c r="C10" t="s">
        <v>25</v>
      </c>
      <c r="D10">
        <v>60</v>
      </c>
      <c r="E10" t="s">
        <v>28</v>
      </c>
    </row>
    <row r="11" spans="3:5" x14ac:dyDescent="0.35">
      <c r="C11" t="s">
        <v>26</v>
      </c>
      <c r="D11">
        <v>50</v>
      </c>
      <c r="E11" t="s">
        <v>29</v>
      </c>
    </row>
    <row r="12" spans="3:5" x14ac:dyDescent="0.35">
      <c r="C12" t="s">
        <v>27</v>
      </c>
      <c r="D12">
        <f>D10*60/D11</f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94CB5-56F3-4413-B45D-DC0E7C12B401}">
  <dimension ref="B2:M20"/>
  <sheetViews>
    <sheetView tabSelected="1" workbookViewId="0">
      <selection activeCell="J4" sqref="J4"/>
    </sheetView>
  </sheetViews>
  <sheetFormatPr defaultRowHeight="14.5" x14ac:dyDescent="0.35"/>
  <sheetData>
    <row r="2" spans="2:13" x14ac:dyDescent="0.35">
      <c r="C2">
        <v>1</v>
      </c>
      <c r="J2">
        <v>1</v>
      </c>
    </row>
    <row r="3" spans="2:13" x14ac:dyDescent="0.35">
      <c r="B3">
        <v>1</v>
      </c>
      <c r="C3" s="3">
        <f>B3*C2</f>
        <v>1</v>
      </c>
      <c r="D3">
        <v>2</v>
      </c>
      <c r="E3">
        <v>10</v>
      </c>
      <c r="F3">
        <v>14</v>
      </c>
      <c r="G3">
        <v>19</v>
      </c>
      <c r="I3">
        <v>1</v>
      </c>
      <c r="J3" s="3">
        <f>I3+J2</f>
        <v>2</v>
      </c>
      <c r="K3">
        <v>3</v>
      </c>
      <c r="L3">
        <v>4</v>
      </c>
      <c r="M3">
        <v>5</v>
      </c>
    </row>
    <row r="4" spans="2:13" x14ac:dyDescent="0.35">
      <c r="C4">
        <v>1</v>
      </c>
      <c r="D4">
        <f t="dataTable" ref="D4:G14" dt2D="1" dtr="1" r1="B3" r2="C2"/>
        <v>2</v>
      </c>
      <c r="E4">
        <v>10</v>
      </c>
      <c r="F4">
        <v>14</v>
      </c>
      <c r="G4">
        <v>19</v>
      </c>
      <c r="J4">
        <v>1</v>
      </c>
      <c r="K4">
        <f t="dataTable" ref="K4:M14" dt2D="1" dtr="1" r1="I3" r2="J2"/>
        <v>4</v>
      </c>
      <c r="L4">
        <v>5</v>
      </c>
      <c r="M4">
        <v>6</v>
      </c>
    </row>
    <row r="5" spans="2:13" x14ac:dyDescent="0.35">
      <c r="C5">
        <v>2</v>
      </c>
      <c r="D5">
        <v>4</v>
      </c>
      <c r="E5">
        <v>20</v>
      </c>
      <c r="F5">
        <v>28</v>
      </c>
      <c r="G5">
        <v>38</v>
      </c>
      <c r="J5">
        <v>2</v>
      </c>
      <c r="K5">
        <v>5</v>
      </c>
      <c r="L5">
        <v>6</v>
      </c>
      <c r="M5">
        <v>7</v>
      </c>
    </row>
    <row r="6" spans="2:13" x14ac:dyDescent="0.35">
      <c r="C6">
        <v>3</v>
      </c>
      <c r="D6">
        <v>6</v>
      </c>
      <c r="E6">
        <v>30</v>
      </c>
      <c r="F6">
        <v>42</v>
      </c>
      <c r="G6">
        <v>57</v>
      </c>
      <c r="J6">
        <v>3</v>
      </c>
      <c r="K6">
        <v>6</v>
      </c>
      <c r="L6">
        <v>7</v>
      </c>
      <c r="M6">
        <v>8</v>
      </c>
    </row>
    <row r="7" spans="2:13" x14ac:dyDescent="0.35">
      <c r="C7">
        <v>4</v>
      </c>
      <c r="D7">
        <v>8</v>
      </c>
      <c r="E7">
        <v>40</v>
      </c>
      <c r="F7">
        <v>56</v>
      </c>
      <c r="G7">
        <v>76</v>
      </c>
      <c r="J7">
        <v>4</v>
      </c>
      <c r="K7">
        <v>7</v>
      </c>
      <c r="L7">
        <v>8</v>
      </c>
      <c r="M7">
        <v>9</v>
      </c>
    </row>
    <row r="8" spans="2:13" x14ac:dyDescent="0.35">
      <c r="C8">
        <v>5</v>
      </c>
      <c r="D8">
        <v>10</v>
      </c>
      <c r="E8">
        <v>50</v>
      </c>
      <c r="F8">
        <v>70</v>
      </c>
      <c r="G8">
        <v>95</v>
      </c>
      <c r="J8">
        <v>5</v>
      </c>
      <c r="K8">
        <v>8</v>
      </c>
      <c r="L8">
        <v>9</v>
      </c>
      <c r="M8">
        <v>10</v>
      </c>
    </row>
    <row r="9" spans="2:13" x14ac:dyDescent="0.35">
      <c r="C9">
        <v>6</v>
      </c>
      <c r="D9">
        <v>12</v>
      </c>
      <c r="E9">
        <v>60</v>
      </c>
      <c r="F9">
        <v>84</v>
      </c>
      <c r="G9">
        <v>114</v>
      </c>
      <c r="J9">
        <v>6</v>
      </c>
      <c r="K9">
        <v>9</v>
      </c>
      <c r="L9">
        <v>10</v>
      </c>
      <c r="M9">
        <v>11</v>
      </c>
    </row>
    <row r="10" spans="2:13" x14ac:dyDescent="0.35">
      <c r="C10">
        <v>7</v>
      </c>
      <c r="D10">
        <v>14</v>
      </c>
      <c r="E10">
        <v>70</v>
      </c>
      <c r="F10">
        <v>98</v>
      </c>
      <c r="G10">
        <v>133</v>
      </c>
      <c r="J10">
        <v>7</v>
      </c>
      <c r="K10">
        <v>10</v>
      </c>
      <c r="L10">
        <v>11</v>
      </c>
      <c r="M10">
        <v>12</v>
      </c>
    </row>
    <row r="11" spans="2:13" x14ac:dyDescent="0.35">
      <c r="C11">
        <v>8</v>
      </c>
      <c r="D11">
        <v>16</v>
      </c>
      <c r="E11">
        <v>80</v>
      </c>
      <c r="F11">
        <v>112</v>
      </c>
      <c r="G11">
        <v>152</v>
      </c>
      <c r="J11">
        <v>8</v>
      </c>
      <c r="K11">
        <v>11</v>
      </c>
      <c r="L11">
        <v>12</v>
      </c>
      <c r="M11">
        <v>13</v>
      </c>
    </row>
    <row r="12" spans="2:13" x14ac:dyDescent="0.35">
      <c r="C12">
        <v>9</v>
      </c>
      <c r="D12">
        <v>18</v>
      </c>
      <c r="E12">
        <v>90</v>
      </c>
      <c r="F12">
        <v>126</v>
      </c>
      <c r="G12">
        <v>171</v>
      </c>
      <c r="J12">
        <v>9</v>
      </c>
      <c r="K12">
        <v>12</v>
      </c>
      <c r="L12">
        <v>13</v>
      </c>
      <c r="M12">
        <v>14</v>
      </c>
    </row>
    <row r="13" spans="2:13" x14ac:dyDescent="0.35">
      <c r="C13">
        <v>10</v>
      </c>
      <c r="D13">
        <v>20</v>
      </c>
      <c r="E13">
        <v>100</v>
      </c>
      <c r="F13">
        <v>140</v>
      </c>
      <c r="G13">
        <v>190</v>
      </c>
      <c r="J13">
        <v>10</v>
      </c>
      <c r="K13">
        <v>13</v>
      </c>
      <c r="L13">
        <v>14</v>
      </c>
      <c r="M13">
        <v>15</v>
      </c>
    </row>
    <row r="14" spans="2:13" x14ac:dyDescent="0.35">
      <c r="C14">
        <v>11</v>
      </c>
      <c r="D14">
        <v>22</v>
      </c>
      <c r="E14">
        <v>110</v>
      </c>
      <c r="F14">
        <v>154</v>
      </c>
      <c r="G14">
        <v>209</v>
      </c>
      <c r="J14">
        <v>11</v>
      </c>
      <c r="K14">
        <v>14</v>
      </c>
      <c r="L14">
        <v>15</v>
      </c>
      <c r="M14">
        <v>16</v>
      </c>
    </row>
    <row r="15" spans="2:13" x14ac:dyDescent="0.35">
      <c r="C15">
        <v>1</v>
      </c>
    </row>
    <row r="16" spans="2:13" x14ac:dyDescent="0.35">
      <c r="C16">
        <v>1</v>
      </c>
    </row>
    <row r="17" spans="3:3" x14ac:dyDescent="0.35">
      <c r="C17">
        <v>1</v>
      </c>
    </row>
    <row r="18" spans="3:3" x14ac:dyDescent="0.35">
      <c r="C18">
        <v>1</v>
      </c>
    </row>
    <row r="19" spans="3:3" x14ac:dyDescent="0.35">
      <c r="C19">
        <v>1</v>
      </c>
    </row>
    <row r="20" spans="3:3" x14ac:dyDescent="0.35">
      <c r="C20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Sheet1</vt:lpstr>
      <vt:lpstr>Sheet2</vt:lpstr>
      <vt:lpstr>Sheet3</vt:lpstr>
      <vt:lpstr>sheet4</vt:lpstr>
      <vt:lpstr>Sheet5</vt:lpstr>
      <vt:lpstr>int</vt:lpstr>
      <vt:lpstr>intr</vt:lpstr>
      <vt:lpstr>mon</vt:lpstr>
      <vt:lpstr>monpa</vt:lpstr>
      <vt:lpstr>noy</vt:lpstr>
      <vt:lpstr>noys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2025-12-15T09:35:56Z</dcterms:created>
  <dcterms:modified xsi:type="dcterms:W3CDTF">2025-12-17T12:14:32Z</dcterms:modified>
</cp:coreProperties>
</file>